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en\Downloads\TESIS S2\Colab\Excel Hands-On Analysis\"/>
    </mc:Choice>
  </mc:AlternateContent>
  <xr:revisionPtr revIDLastSave="0" documentId="13_ncr:1_{D9767032-6088-44C9-87AD-99E24C084C7A}" xr6:coauthVersionLast="47" xr6:coauthVersionMax="47" xr10:uidLastSave="{00000000-0000-0000-0000-000000000000}"/>
  <bookViews>
    <workbookView xWindow="-108" yWindow="-108" windowWidth="23256" windowHeight="13896" activeTab="1" xr2:uid="{638C3903-B094-4E1E-81FF-882F847D2732}"/>
  </bookViews>
  <sheets>
    <sheet name="ALL_METRICS" sheetId="1" r:id="rId1"/>
    <sheet name="Optuna vs. RS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L5" i="2"/>
  <c r="L28" i="3"/>
  <c r="W73" i="3"/>
  <c r="V73" i="3"/>
  <c r="U73" i="3"/>
  <c r="T73" i="3"/>
  <c r="S73" i="3"/>
  <c r="P73" i="3"/>
  <c r="O73" i="3"/>
  <c r="N73" i="3"/>
  <c r="M73" i="3"/>
  <c r="L73" i="3"/>
  <c r="W72" i="3"/>
  <c r="V72" i="3"/>
  <c r="U72" i="3"/>
  <c r="T72" i="3"/>
  <c r="S72" i="3"/>
  <c r="W70" i="3"/>
  <c r="V70" i="3"/>
  <c r="U70" i="3"/>
  <c r="T70" i="3"/>
  <c r="S70" i="3"/>
  <c r="P70" i="3"/>
  <c r="O70" i="3"/>
  <c r="N70" i="3"/>
  <c r="M70" i="3"/>
  <c r="L70" i="3"/>
  <c r="W69" i="3"/>
  <c r="V69" i="3"/>
  <c r="U69" i="3"/>
  <c r="T69" i="3"/>
  <c r="S69" i="3"/>
  <c r="W67" i="3"/>
  <c r="V67" i="3"/>
  <c r="U67" i="3"/>
  <c r="T67" i="3"/>
  <c r="S67" i="3"/>
  <c r="P67" i="3"/>
  <c r="O67" i="3"/>
  <c r="N67" i="3"/>
  <c r="M67" i="3"/>
  <c r="L67" i="3"/>
  <c r="W66" i="3"/>
  <c r="V66" i="3"/>
  <c r="U66" i="3"/>
  <c r="T66" i="3"/>
  <c r="S66" i="3"/>
  <c r="W64" i="3"/>
  <c r="V64" i="3"/>
  <c r="U64" i="3"/>
  <c r="T64" i="3"/>
  <c r="S64" i="3"/>
  <c r="P64" i="3"/>
  <c r="O64" i="3"/>
  <c r="N64" i="3"/>
  <c r="M64" i="3"/>
  <c r="L64" i="3"/>
  <c r="W63" i="3"/>
  <c r="V63" i="3"/>
  <c r="U63" i="3"/>
  <c r="T63" i="3"/>
  <c r="S63" i="3"/>
  <c r="W61" i="3"/>
  <c r="V61" i="3"/>
  <c r="U61" i="3"/>
  <c r="T61" i="3"/>
  <c r="S61" i="3"/>
  <c r="P61" i="3"/>
  <c r="O61" i="3"/>
  <c r="N61" i="3"/>
  <c r="M61" i="3"/>
  <c r="L61" i="3"/>
  <c r="W60" i="3"/>
  <c r="V60" i="3"/>
  <c r="U60" i="3"/>
  <c r="T60" i="3"/>
  <c r="S60" i="3"/>
  <c r="W55" i="3"/>
  <c r="V55" i="3"/>
  <c r="U55" i="3"/>
  <c r="T55" i="3"/>
  <c r="S55" i="3"/>
  <c r="P55" i="3"/>
  <c r="O55" i="3"/>
  <c r="N55" i="3"/>
  <c r="M55" i="3"/>
  <c r="L55" i="3"/>
  <c r="W54" i="3"/>
  <c r="V54" i="3"/>
  <c r="U54" i="3"/>
  <c r="T54" i="3"/>
  <c r="S54" i="3"/>
  <c r="W52" i="3"/>
  <c r="V52" i="3"/>
  <c r="U52" i="3"/>
  <c r="T52" i="3"/>
  <c r="S52" i="3"/>
  <c r="P52" i="3"/>
  <c r="O52" i="3"/>
  <c r="N52" i="3"/>
  <c r="M52" i="3"/>
  <c r="L52" i="3"/>
  <c r="W51" i="3"/>
  <c r="V51" i="3"/>
  <c r="U51" i="3"/>
  <c r="T51" i="3"/>
  <c r="S51" i="3"/>
  <c r="W49" i="3"/>
  <c r="V49" i="3"/>
  <c r="U49" i="3"/>
  <c r="T49" i="3"/>
  <c r="S49" i="3"/>
  <c r="P49" i="3"/>
  <c r="O49" i="3"/>
  <c r="N49" i="3"/>
  <c r="M49" i="3"/>
  <c r="L49" i="3"/>
  <c r="W48" i="3"/>
  <c r="V48" i="3"/>
  <c r="U48" i="3"/>
  <c r="T48" i="3"/>
  <c r="S48" i="3"/>
  <c r="W46" i="3"/>
  <c r="V46" i="3"/>
  <c r="U46" i="3"/>
  <c r="T46" i="3"/>
  <c r="S46" i="3"/>
  <c r="P46" i="3"/>
  <c r="O46" i="3"/>
  <c r="N46" i="3"/>
  <c r="M46" i="3"/>
  <c r="L46" i="3"/>
  <c r="W45" i="3"/>
  <c r="V45" i="3"/>
  <c r="U45" i="3"/>
  <c r="T45" i="3"/>
  <c r="S45" i="3"/>
  <c r="W43" i="3"/>
  <c r="V43" i="3"/>
  <c r="U43" i="3"/>
  <c r="T43" i="3"/>
  <c r="S43" i="3"/>
  <c r="P43" i="3"/>
  <c r="O43" i="3"/>
  <c r="N43" i="3"/>
  <c r="M43" i="3"/>
  <c r="L43" i="3"/>
  <c r="W42" i="3"/>
  <c r="V42" i="3"/>
  <c r="U42" i="3"/>
  <c r="T42" i="3"/>
  <c r="S42" i="3"/>
  <c r="W37" i="3"/>
  <c r="V37" i="3"/>
  <c r="U37" i="3"/>
  <c r="T37" i="3"/>
  <c r="S37" i="3"/>
  <c r="P37" i="3"/>
  <c r="O37" i="3"/>
  <c r="N37" i="3"/>
  <c r="M37" i="3"/>
  <c r="L37" i="3"/>
  <c r="W36" i="3"/>
  <c r="V36" i="3"/>
  <c r="U36" i="3"/>
  <c r="T36" i="3"/>
  <c r="S36" i="3"/>
  <c r="W34" i="3"/>
  <c r="V34" i="3"/>
  <c r="U34" i="3"/>
  <c r="T34" i="3"/>
  <c r="S34" i="3"/>
  <c r="P34" i="3"/>
  <c r="O34" i="3"/>
  <c r="N34" i="3"/>
  <c r="M34" i="3"/>
  <c r="L34" i="3"/>
  <c r="W33" i="3"/>
  <c r="V33" i="3"/>
  <c r="U33" i="3"/>
  <c r="T33" i="3"/>
  <c r="S33" i="3"/>
  <c r="W31" i="3"/>
  <c r="V31" i="3"/>
  <c r="U31" i="3"/>
  <c r="T31" i="3"/>
  <c r="S31" i="3"/>
  <c r="P31" i="3"/>
  <c r="O31" i="3"/>
  <c r="N31" i="3"/>
  <c r="M31" i="3"/>
  <c r="L31" i="3"/>
  <c r="W30" i="3"/>
  <c r="V30" i="3"/>
  <c r="U30" i="3"/>
  <c r="T30" i="3"/>
  <c r="S30" i="3"/>
  <c r="W28" i="3"/>
  <c r="V28" i="3"/>
  <c r="U28" i="3"/>
  <c r="T28" i="3"/>
  <c r="S28" i="3"/>
  <c r="P28" i="3"/>
  <c r="O28" i="3"/>
  <c r="N28" i="3"/>
  <c r="M28" i="3"/>
  <c r="W27" i="3"/>
  <c r="V27" i="3"/>
  <c r="U27" i="3"/>
  <c r="T27" i="3"/>
  <c r="S27" i="3"/>
  <c r="W25" i="3"/>
  <c r="V25" i="3"/>
  <c r="U25" i="3"/>
  <c r="T25" i="3"/>
  <c r="S25" i="3"/>
  <c r="P25" i="3"/>
  <c r="O25" i="3"/>
  <c r="N25" i="3"/>
  <c r="M25" i="3"/>
  <c r="L25" i="3"/>
  <c r="W24" i="3"/>
  <c r="V24" i="3"/>
  <c r="U24" i="3"/>
  <c r="T24" i="3"/>
  <c r="S24" i="3"/>
  <c r="S7" i="3"/>
  <c r="S19" i="3"/>
  <c r="S16" i="3"/>
  <c r="S10" i="3"/>
  <c r="S9" i="3"/>
  <c r="T9" i="3"/>
  <c r="U9" i="3"/>
  <c r="V9" i="3"/>
  <c r="W9" i="3"/>
  <c r="W19" i="3"/>
  <c r="V19" i="3"/>
  <c r="U19" i="3"/>
  <c r="T19" i="3"/>
  <c r="W18" i="3"/>
  <c r="V18" i="3"/>
  <c r="U18" i="3"/>
  <c r="T18" i="3"/>
  <c r="S18" i="3"/>
  <c r="W16" i="3"/>
  <c r="V16" i="3"/>
  <c r="U16" i="3"/>
  <c r="T16" i="3"/>
  <c r="W15" i="3"/>
  <c r="V15" i="3"/>
  <c r="U15" i="3"/>
  <c r="T15" i="3"/>
  <c r="S15" i="3"/>
  <c r="W13" i="3"/>
  <c r="V13" i="3"/>
  <c r="U13" i="3"/>
  <c r="T13" i="3"/>
  <c r="S13" i="3"/>
  <c r="W12" i="3"/>
  <c r="V12" i="3"/>
  <c r="U12" i="3"/>
  <c r="T12" i="3"/>
  <c r="S12" i="3"/>
  <c r="W10" i="3"/>
  <c r="V10" i="3"/>
  <c r="U10" i="3"/>
  <c r="T10" i="3"/>
  <c r="W7" i="3"/>
  <c r="T7" i="3"/>
  <c r="U7" i="3"/>
  <c r="V7" i="3"/>
  <c r="W6" i="3"/>
  <c r="S6" i="3"/>
  <c r="T6" i="3"/>
  <c r="U6" i="3"/>
  <c r="V6" i="3"/>
  <c r="P19" i="3"/>
  <c r="P16" i="3"/>
  <c r="P13" i="3"/>
  <c r="P10" i="3"/>
  <c r="P7" i="3"/>
  <c r="L10" i="3"/>
  <c r="L13" i="3"/>
  <c r="O19" i="3"/>
  <c r="N19" i="3"/>
  <c r="M19" i="3"/>
  <c r="L19" i="3"/>
  <c r="O16" i="3"/>
  <c r="N16" i="3"/>
  <c r="M16" i="3"/>
  <c r="L16" i="3"/>
  <c r="O13" i="3"/>
  <c r="N13" i="3"/>
  <c r="M13" i="3"/>
  <c r="O10" i="3"/>
  <c r="N10" i="3"/>
  <c r="M10" i="3"/>
  <c r="L7" i="3"/>
  <c r="M7" i="3"/>
  <c r="N7" i="3"/>
  <c r="O7" i="3"/>
  <c r="J23" i="3"/>
  <c r="J41" i="3"/>
  <c r="J59" i="3"/>
  <c r="J8" i="3"/>
  <c r="J26" i="3"/>
  <c r="J44" i="3"/>
  <c r="J62" i="3"/>
  <c r="J11" i="3"/>
  <c r="J29" i="3"/>
  <c r="J47" i="3"/>
  <c r="J65" i="3"/>
  <c r="J14" i="3"/>
  <c r="J32" i="3"/>
  <c r="J50" i="3"/>
  <c r="J68" i="3"/>
  <c r="J17" i="3"/>
  <c r="J35" i="3"/>
  <c r="J53" i="3"/>
  <c r="J71" i="3"/>
  <c r="J6" i="3"/>
  <c r="J24" i="3"/>
  <c r="J42" i="3"/>
  <c r="J60" i="3"/>
  <c r="J9" i="3"/>
  <c r="J27" i="3"/>
  <c r="J45" i="3"/>
  <c r="J63" i="3"/>
  <c r="J12" i="3"/>
  <c r="J30" i="3"/>
  <c r="J48" i="3"/>
  <c r="J66" i="3"/>
  <c r="J15" i="3"/>
  <c r="J33" i="3"/>
  <c r="J51" i="3"/>
  <c r="J69" i="3"/>
  <c r="J18" i="3"/>
  <c r="J36" i="3"/>
  <c r="J54" i="3"/>
  <c r="J72" i="3"/>
  <c r="J7" i="3"/>
  <c r="J25" i="3"/>
  <c r="J43" i="3"/>
  <c r="J61" i="3"/>
  <c r="J10" i="3"/>
  <c r="J28" i="3"/>
  <c r="J46" i="3"/>
  <c r="J64" i="3"/>
  <c r="J13" i="3"/>
  <c r="J31" i="3"/>
  <c r="J49" i="3"/>
  <c r="J67" i="3"/>
  <c r="J16" i="3"/>
  <c r="J34" i="3"/>
  <c r="J52" i="3"/>
  <c r="J70" i="3"/>
  <c r="J19" i="3"/>
  <c r="J37" i="3"/>
  <c r="J55" i="3"/>
  <c r="J73" i="3"/>
  <c r="I23" i="3"/>
  <c r="I41" i="3"/>
  <c r="I59" i="3"/>
  <c r="I8" i="3"/>
  <c r="I26" i="3"/>
  <c r="I44" i="3"/>
  <c r="I62" i="3"/>
  <c r="I11" i="3"/>
  <c r="I29" i="3"/>
  <c r="I47" i="3"/>
  <c r="I65" i="3"/>
  <c r="I14" i="3"/>
  <c r="I32" i="3"/>
  <c r="I50" i="3"/>
  <c r="I68" i="3"/>
  <c r="I17" i="3"/>
  <c r="I35" i="3"/>
  <c r="I53" i="3"/>
  <c r="I71" i="3"/>
  <c r="I6" i="3"/>
  <c r="I24" i="3"/>
  <c r="I42" i="3"/>
  <c r="I60" i="3"/>
  <c r="I9" i="3"/>
  <c r="I27" i="3"/>
  <c r="I45" i="3"/>
  <c r="I63" i="3"/>
  <c r="I12" i="3"/>
  <c r="I30" i="3"/>
  <c r="I48" i="3"/>
  <c r="I66" i="3"/>
  <c r="I15" i="3"/>
  <c r="I33" i="3"/>
  <c r="I51" i="3"/>
  <c r="I69" i="3"/>
  <c r="I18" i="3"/>
  <c r="I36" i="3"/>
  <c r="I54" i="3"/>
  <c r="I72" i="3"/>
  <c r="I7" i="3"/>
  <c r="I25" i="3"/>
  <c r="I43" i="3"/>
  <c r="I61" i="3"/>
  <c r="I10" i="3"/>
  <c r="I28" i="3"/>
  <c r="I46" i="3"/>
  <c r="I64" i="3"/>
  <c r="I13" i="3"/>
  <c r="I31" i="3"/>
  <c r="I49" i="3"/>
  <c r="I67" i="3"/>
  <c r="I16" i="3"/>
  <c r="I34" i="3"/>
  <c r="I52" i="3"/>
  <c r="I70" i="3"/>
  <c r="I19" i="3"/>
  <c r="I37" i="3"/>
  <c r="I55" i="3"/>
  <c r="I73" i="3"/>
  <c r="J5" i="3"/>
  <c r="I5" i="2"/>
  <c r="I5" i="3"/>
  <c r="L6" i="2"/>
  <c r="P65" i="2"/>
  <c r="P66" i="2"/>
  <c r="P64" i="2"/>
  <c r="P47" i="2"/>
  <c r="P48" i="2"/>
  <c r="P46" i="2"/>
  <c r="P11" i="2"/>
  <c r="P12" i="2"/>
  <c r="P10" i="2"/>
  <c r="P29" i="2"/>
  <c r="P30" i="2"/>
  <c r="P28" i="2"/>
  <c r="P24" i="2"/>
  <c r="M11" i="2"/>
  <c r="L12" i="2"/>
  <c r="L11" i="2"/>
  <c r="L64" i="2"/>
  <c r="O66" i="2"/>
  <c r="N66" i="2"/>
  <c r="M66" i="2"/>
  <c r="L66" i="2"/>
  <c r="O65" i="2"/>
  <c r="N65" i="2"/>
  <c r="M65" i="2"/>
  <c r="L65" i="2"/>
  <c r="O64" i="2"/>
  <c r="N64" i="2"/>
  <c r="M64" i="2"/>
  <c r="O48" i="2"/>
  <c r="N48" i="2"/>
  <c r="M48" i="2"/>
  <c r="L48" i="2"/>
  <c r="O47" i="2"/>
  <c r="N47" i="2"/>
  <c r="M47" i="2"/>
  <c r="L47" i="2"/>
  <c r="O46" i="2"/>
  <c r="N46" i="2"/>
  <c r="M46" i="2"/>
  <c r="L46" i="2"/>
  <c r="O30" i="2"/>
  <c r="N30" i="2"/>
  <c r="M30" i="2"/>
  <c r="L30" i="2"/>
  <c r="O29" i="2"/>
  <c r="N29" i="2"/>
  <c r="M29" i="2"/>
  <c r="L29" i="2"/>
  <c r="O28" i="2"/>
  <c r="N28" i="2"/>
  <c r="M28" i="2"/>
  <c r="L28" i="2"/>
  <c r="N11" i="2"/>
  <c r="O11" i="2"/>
  <c r="M12" i="2"/>
  <c r="N12" i="2"/>
  <c r="O12" i="2"/>
  <c r="M10" i="2"/>
  <c r="N10" i="2"/>
  <c r="O10" i="2"/>
  <c r="L25" i="2"/>
  <c r="P61" i="2"/>
  <c r="O61" i="2"/>
  <c r="N61" i="2"/>
  <c r="M61" i="2"/>
  <c r="L61" i="2"/>
  <c r="P60" i="2"/>
  <c r="O60" i="2"/>
  <c r="N60" i="2"/>
  <c r="M60" i="2"/>
  <c r="L60" i="2"/>
  <c r="P59" i="2"/>
  <c r="O59" i="2"/>
  <c r="N59" i="2"/>
  <c r="M59" i="2"/>
  <c r="L59" i="2"/>
  <c r="P43" i="2"/>
  <c r="O43" i="2"/>
  <c r="N43" i="2"/>
  <c r="M43" i="2"/>
  <c r="L43" i="2"/>
  <c r="P42" i="2"/>
  <c r="O42" i="2"/>
  <c r="N42" i="2"/>
  <c r="M42" i="2"/>
  <c r="L42" i="2"/>
  <c r="P41" i="2"/>
  <c r="O41" i="2"/>
  <c r="N41" i="2"/>
  <c r="M41" i="2"/>
  <c r="L41" i="2"/>
  <c r="P25" i="2"/>
  <c r="O25" i="2"/>
  <c r="N25" i="2"/>
  <c r="M25" i="2"/>
  <c r="O24" i="2"/>
  <c r="N24" i="2"/>
  <c r="M24" i="2"/>
  <c r="L24" i="2"/>
  <c r="P23" i="2"/>
  <c r="O23" i="2"/>
  <c r="N23" i="2"/>
  <c r="M23" i="2"/>
  <c r="L23" i="2"/>
  <c r="M6" i="2"/>
  <c r="N6" i="2"/>
  <c r="O6" i="2"/>
  <c r="P6" i="2"/>
  <c r="L7" i="2"/>
  <c r="M7" i="2"/>
  <c r="N7" i="2"/>
  <c r="O7" i="2"/>
  <c r="P7" i="2"/>
  <c r="P5" i="2"/>
  <c r="M5" i="2"/>
  <c r="N5" i="2"/>
  <c r="O5" i="2"/>
  <c r="I17" i="2"/>
  <c r="I14" i="2"/>
  <c r="I8" i="2"/>
  <c r="I29" i="2"/>
  <c r="I35" i="2"/>
  <c r="I32" i="2"/>
  <c r="I23" i="2"/>
  <c r="I26" i="2"/>
  <c r="I47" i="2"/>
  <c r="I53" i="2"/>
  <c r="I50" i="2"/>
  <c r="I41" i="2"/>
  <c r="I44" i="2"/>
  <c r="I65" i="2"/>
  <c r="I71" i="2"/>
  <c r="I68" i="2"/>
  <c r="I59" i="2"/>
  <c r="I62" i="2"/>
  <c r="I13" i="2"/>
  <c r="I19" i="2"/>
  <c r="I16" i="2"/>
  <c r="I7" i="2"/>
  <c r="I10" i="2"/>
  <c r="I31" i="2"/>
  <c r="I37" i="2"/>
  <c r="I34" i="2"/>
  <c r="I25" i="2"/>
  <c r="I28" i="2"/>
  <c r="I49" i="2"/>
  <c r="I55" i="2"/>
  <c r="I52" i="2"/>
  <c r="I43" i="2"/>
  <c r="I46" i="2"/>
  <c r="I67" i="2"/>
  <c r="I73" i="2"/>
  <c r="I70" i="2"/>
  <c r="I61" i="2"/>
  <c r="I64" i="2"/>
  <c r="I12" i="2"/>
  <c r="I18" i="2"/>
  <c r="I15" i="2"/>
  <c r="I6" i="2"/>
  <c r="I9" i="2"/>
  <c r="I30" i="2"/>
  <c r="I36" i="2"/>
  <c r="I33" i="2"/>
  <c r="I24" i="2"/>
  <c r="I27" i="2"/>
  <c r="I48" i="2"/>
  <c r="I54" i="2"/>
  <c r="I51" i="2"/>
  <c r="I42" i="2"/>
  <c r="I45" i="2"/>
  <c r="I66" i="2"/>
  <c r="I72" i="2"/>
  <c r="I69" i="2"/>
  <c r="I60" i="2"/>
  <c r="I63" i="2"/>
  <c r="I11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</calcChain>
</file>

<file path=xl/sharedStrings.xml><?xml version="1.0" encoding="utf-8"?>
<sst xmlns="http://schemas.openxmlformats.org/spreadsheetml/2006/main" count="359" uniqueCount="89">
  <si>
    <t>timestamp</t>
  </si>
  <si>
    <t>model_name</t>
  </si>
  <si>
    <t>seed</t>
  </si>
  <si>
    <t>mse</t>
  </si>
  <si>
    <t>mae</t>
  </si>
  <si>
    <t>rmse</t>
  </si>
  <si>
    <t>mape</t>
  </si>
  <si>
    <t>r2_score</t>
  </si>
  <si>
    <t>training_time_s</t>
  </si>
  <si>
    <t>testing_time_s</t>
  </si>
  <si>
    <t>hpo_trial_s</t>
  </si>
  <si>
    <t>hpo_time_s</t>
  </si>
  <si>
    <t>gru_baseline_42</t>
  </si>
  <si>
    <t>lstm_baseline_42</t>
  </si>
  <si>
    <t>tcn_baseline_42</t>
  </si>
  <si>
    <t>transformer_baseline_42</t>
  </si>
  <si>
    <t>gru_baseline_73</t>
  </si>
  <si>
    <t>lstm_baseline_73</t>
  </si>
  <si>
    <t>tcn_baseline_73</t>
  </si>
  <si>
    <t>transformer_baseline_73</t>
  </si>
  <si>
    <t>gru_baseline_1234</t>
  </si>
  <si>
    <t>lstm_baseline_1234</t>
  </si>
  <si>
    <t>tcn_baseline_1234</t>
  </si>
  <si>
    <t>transformer_baseline_1234</t>
  </si>
  <si>
    <t>gru_baseline_31415</t>
  </si>
  <si>
    <t>lstm_baseline_31415</t>
  </si>
  <si>
    <t>tcn_baseline_31415</t>
  </si>
  <si>
    <t>transformer_baseline_31415</t>
  </si>
  <si>
    <t>gru_baseline_271828183</t>
  </si>
  <si>
    <t>lstm_baseline_271828183</t>
  </si>
  <si>
    <t>tcn_baseline_271828183</t>
  </si>
  <si>
    <t>transformer_baseline_271828183</t>
  </si>
  <si>
    <t>gru_rs_42</t>
  </si>
  <si>
    <t>lstm_rs_42</t>
  </si>
  <si>
    <t>tcn_rs_42</t>
  </si>
  <si>
    <t>transformer_rs_42</t>
  </si>
  <si>
    <t>gru_rs_73</t>
  </si>
  <si>
    <t>lstm_rs_73</t>
  </si>
  <si>
    <t>tcn_rs_73</t>
  </si>
  <si>
    <t>transformer_rs_73</t>
  </si>
  <si>
    <t>gru_rs_1234</t>
  </si>
  <si>
    <t>lstm_rs_1234</t>
  </si>
  <si>
    <t>tcn_rs_1234</t>
  </si>
  <si>
    <t>transformer_rs_1234</t>
  </si>
  <si>
    <t>gru_rs_31415</t>
  </si>
  <si>
    <t>lstm_rs_31415</t>
  </si>
  <si>
    <t>tcn_rs_31415</t>
  </si>
  <si>
    <t>transformer_rs_31415</t>
  </si>
  <si>
    <t>gru_rs_271828183</t>
  </si>
  <si>
    <t>lstm_rs_271828183</t>
  </si>
  <si>
    <t>tcn_rs_271828183</t>
  </si>
  <si>
    <t>transformer_rs_271828183</t>
  </si>
  <si>
    <t>gru_optuna_42</t>
  </si>
  <si>
    <t>lstm_optuna_42</t>
  </si>
  <si>
    <t>tcn_optuna_42</t>
  </si>
  <si>
    <t>transformer_optuna_42</t>
  </si>
  <si>
    <t>gru_optuna_73</t>
  </si>
  <si>
    <t>lstm_optuna_73</t>
  </si>
  <si>
    <t>tcn_optuna_73</t>
  </si>
  <si>
    <t>transformer_optuna_73</t>
  </si>
  <si>
    <t>gru_optuna_1234</t>
  </si>
  <si>
    <t>lstm_optuna_1234</t>
  </si>
  <si>
    <t>tcn_optuna_1234</t>
  </si>
  <si>
    <t>transformer_optuna_1234</t>
  </si>
  <si>
    <t>gru_optuna_31415</t>
  </si>
  <si>
    <t>lstm_optuna_31415</t>
  </si>
  <si>
    <t>tcn_optuna_31415</t>
  </si>
  <si>
    <t>transformer_optuna_31415</t>
  </si>
  <si>
    <t>gru_optuna_271828183</t>
  </si>
  <si>
    <t>lstm_optuna_271828183</t>
  </si>
  <si>
    <t>tcn_optuna_271828183</t>
  </si>
  <si>
    <t>transformer_optuna_271828183</t>
  </si>
  <si>
    <t>list_index</t>
  </si>
  <si>
    <t>baseline</t>
  </si>
  <si>
    <t>rs</t>
  </si>
  <si>
    <t>optuna</t>
  </si>
  <si>
    <t>Coefficient of Variation (σ/μ)</t>
  </si>
  <si>
    <t>μ(mse) ± σ(mse)</t>
  </si>
  <si>
    <t>μ(mae) ± σ(mae)</t>
  </si>
  <si>
    <t>μ(rmse) ± σ(rmse)</t>
  </si>
  <si>
    <t>μ(mape) ± σ(mape)</t>
  </si>
  <si>
    <t>μ(r2) ± σ(r2)</t>
  </si>
  <si>
    <t>Coefficient of Variation (CV = σ/μ)</t>
  </si>
  <si>
    <t>list_scheme</t>
  </si>
  <si>
    <t>list_model</t>
  </si>
  <si>
    <t>Who achieved better metrics?</t>
  </si>
  <si>
    <t>RS</t>
  </si>
  <si>
    <t>Optuna</t>
  </si>
  <si>
    <t>Compared to the baseline, is it better or worse?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</si>
</sst>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\ h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22" fontId="0" fillId="0" borderId="0" xfId="0" applyNumberFormat="1"/>
    <xf numFmtId="0" fontId="5" fillId="0" borderId="3" xfId="4"/>
    <xf numFmtId="164" fontId="0" fillId="0" borderId="0" xfId="0" applyNumberFormat="1"/>
    <xf numFmtId="1" fontId="0" fillId="0" borderId="0" xfId="0" applyNumberFormat="1"/>
    <xf numFmtId="22" fontId="16" fillId="0" borderId="0" xfId="0" applyNumberFormat="1" applyFont="1"/>
    <xf numFmtId="0" fontId="16" fillId="0" borderId="0" xfId="0" applyFont="1"/>
    <xf numFmtId="1" fontId="16" fillId="0" borderId="0" xfId="0" applyNumberFormat="1" applyFont="1"/>
    <xf numFmtId="164" fontId="16" fillId="0" borderId="0" xfId="0" applyNumberFormat="1" applyFont="1"/>
    <xf numFmtId="165" fontId="0" fillId="0" borderId="0" xfId="0" applyNumberFormat="1"/>
    <xf numFmtId="0" fontId="5" fillId="0" borderId="3" xfId="4" applyFill="1"/>
    <xf numFmtId="165" fontId="1" fillId="30" borderId="0" xfId="39" applyNumberFormat="1"/>
    <xf numFmtId="0" fontId="1" fillId="30" borderId="0" xfId="39"/>
    <xf numFmtId="165" fontId="1" fillId="31" borderId="0" xfId="40" applyNumberFormat="1"/>
    <xf numFmtId="0" fontId="1" fillId="31" borderId="0" xfId="40"/>
    <xf numFmtId="165" fontId="1" fillId="22" borderId="0" xfId="31" applyNumberFormat="1"/>
    <xf numFmtId="0" fontId="1" fillId="22" borderId="0" xfId="31"/>
    <xf numFmtId="165" fontId="1" fillId="23" borderId="0" xfId="32" applyNumberFormat="1"/>
    <xf numFmtId="0" fontId="1" fillId="23" borderId="0" xfId="32"/>
    <xf numFmtId="165" fontId="1" fillId="26" borderId="0" xfId="35" applyNumberFormat="1"/>
    <xf numFmtId="0" fontId="1" fillId="26" borderId="0" xfId="35"/>
    <xf numFmtId="165" fontId="1" fillId="27" borderId="0" xfId="36" applyNumberFormat="1"/>
    <xf numFmtId="0" fontId="1" fillId="27" borderId="0" xfId="36"/>
    <xf numFmtId="165" fontId="1" fillId="14" borderId="0" xfId="23" applyNumberFormat="1"/>
    <xf numFmtId="0" fontId="1" fillId="14" borderId="0" xfId="23"/>
    <xf numFmtId="165" fontId="1" fillId="15" borderId="0" xfId="24" applyNumberFormat="1"/>
    <xf numFmtId="0" fontId="1" fillId="15" borderId="0" xfId="24"/>
    <xf numFmtId="164" fontId="1" fillId="30" borderId="0" xfId="39" applyNumberFormat="1"/>
    <xf numFmtId="164" fontId="1" fillId="31" borderId="0" xfId="40" applyNumberFormat="1"/>
    <xf numFmtId="164" fontId="1" fillId="22" borderId="0" xfId="31" applyNumberFormat="1"/>
    <xf numFmtId="164" fontId="1" fillId="23" borderId="0" xfId="32" applyNumberFormat="1"/>
    <xf numFmtId="164" fontId="1" fillId="26" borderId="0" xfId="35" applyNumberFormat="1"/>
    <xf numFmtId="164" fontId="1" fillId="27" borderId="0" xfId="36" applyNumberFormat="1"/>
    <xf numFmtId="164" fontId="1" fillId="14" borderId="0" xfId="23" applyNumberFormat="1"/>
    <xf numFmtId="164" fontId="1" fillId="15" borderId="0" xfId="24" applyNumberFormat="1"/>
    <xf numFmtId="0" fontId="18" fillId="0" borderId="0" xfId="0" applyFont="1"/>
    <xf numFmtId="165" fontId="16" fillId="30" borderId="0" xfId="39" applyNumberFormat="1" applyFont="1"/>
    <xf numFmtId="0" fontId="16" fillId="30" borderId="0" xfId="39" applyFont="1"/>
    <xf numFmtId="164" fontId="16" fillId="30" borderId="0" xfId="39" applyNumberFormat="1" applyFont="1"/>
    <xf numFmtId="165" fontId="16" fillId="23" borderId="0" xfId="32" applyNumberFormat="1" applyFont="1"/>
    <xf numFmtId="0" fontId="16" fillId="23" borderId="0" xfId="32" applyFont="1"/>
    <xf numFmtId="164" fontId="16" fillId="23" borderId="0" xfId="32" applyNumberFormat="1" applyFont="1"/>
    <xf numFmtId="165" fontId="16" fillId="26" borderId="0" xfId="35" applyNumberFormat="1" applyFont="1"/>
    <xf numFmtId="0" fontId="16" fillId="26" borderId="0" xfId="35" applyFont="1"/>
    <xf numFmtId="164" fontId="16" fillId="26" borderId="0" xfId="35" applyNumberFormat="1" applyFont="1"/>
    <xf numFmtId="165" fontId="16" fillId="14" borderId="0" xfId="23" applyNumberFormat="1" applyFont="1"/>
    <xf numFmtId="0" fontId="16" fillId="14" borderId="0" xfId="23" applyFont="1"/>
    <xf numFmtId="164" fontId="16" fillId="14" borderId="0" xfId="23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1744-3C46-427A-92D5-D108FBD091A6}">
  <dimension ref="A1:M61"/>
  <sheetViews>
    <sheetView workbookViewId="0">
      <selection sqref="A1:H61"/>
    </sheetView>
  </sheetViews>
  <sheetFormatPr defaultRowHeight="14.4" x14ac:dyDescent="0.3"/>
  <cols>
    <col min="1" max="1" width="15.5546875" bestFit="1" customWidth="1"/>
    <col min="2" max="2" width="30.44140625" bestFit="1" customWidth="1"/>
    <col min="3" max="3" width="10" bestFit="1" customWidth="1"/>
    <col min="4" max="4" width="11.5546875" bestFit="1" customWidth="1"/>
    <col min="5" max="6" width="8.5546875" bestFit="1" customWidth="1"/>
    <col min="7" max="7" width="6.5546875" bestFit="1" customWidth="1"/>
    <col min="8" max="8" width="8.5546875" bestFit="1" customWidth="1"/>
    <col min="9" max="9" width="14.5546875" bestFit="1" customWidth="1"/>
    <col min="10" max="10" width="13.5546875" bestFit="1" customWidth="1"/>
    <col min="11" max="11" width="10.6640625" bestFit="1" customWidth="1"/>
    <col min="12" max="12" width="11" bestFit="1" customWidth="1"/>
    <col min="13" max="13" width="9.33203125" hidden="1" customWidth="1"/>
  </cols>
  <sheetData>
    <row r="1" spans="1:13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72</v>
      </c>
    </row>
    <row r="2" spans="1:13" x14ac:dyDescent="0.3">
      <c r="A2" s="1">
        <v>45977.884479166663</v>
      </c>
      <c r="B2" t="s">
        <v>12</v>
      </c>
      <c r="C2" s="4">
        <v>42</v>
      </c>
      <c r="D2" s="3">
        <v>36724.369587909503</v>
      </c>
      <c r="E2" s="3">
        <v>172.803324426496</v>
      </c>
      <c r="F2" s="3">
        <v>191.63603415826901</v>
      </c>
      <c r="G2" s="3">
        <v>2.4130384080150301E-2</v>
      </c>
      <c r="H2" s="3">
        <v>0.67585055040900099</v>
      </c>
      <c r="I2">
        <v>17.0913</v>
      </c>
      <c r="J2">
        <v>0.1047</v>
      </c>
      <c r="K2">
        <v>0</v>
      </c>
      <c r="L2">
        <v>0</v>
      </c>
      <c r="M2">
        <f t="shared" ref="M2:M33" si="0">IF(ISNUMBER(SEARCH("baseline",B2)),1,IF(ISNUMBER(SEARCH("rs",B2)),2,IF(ISNUMBER(SEARCH("optuna",B2)),3,"")))</f>
        <v>1</v>
      </c>
    </row>
    <row r="3" spans="1:13" x14ac:dyDescent="0.3">
      <c r="A3" s="1">
        <v>45977.884780092594</v>
      </c>
      <c r="B3" t="s">
        <v>13</v>
      </c>
      <c r="C3" s="4">
        <v>42</v>
      </c>
      <c r="D3" s="3">
        <v>332647.46408268099</v>
      </c>
      <c r="E3" s="3">
        <v>528.90481884159306</v>
      </c>
      <c r="F3" s="3">
        <v>576.75598313557305</v>
      </c>
      <c r="G3" s="3">
        <v>7.3539461510102405E-2</v>
      </c>
      <c r="H3" s="3">
        <v>-1.93612915892617</v>
      </c>
      <c r="I3">
        <v>8.6057000000000006</v>
      </c>
      <c r="J3">
        <v>0.1211</v>
      </c>
      <c r="K3">
        <v>0</v>
      </c>
      <c r="L3">
        <v>0</v>
      </c>
      <c r="M3">
        <f t="shared" si="0"/>
        <v>1</v>
      </c>
    </row>
    <row r="4" spans="1:13" x14ac:dyDescent="0.3">
      <c r="A4" s="1">
        <v>45977.885914351849</v>
      </c>
      <c r="B4" t="s">
        <v>14</v>
      </c>
      <c r="C4" s="4">
        <v>42</v>
      </c>
      <c r="D4" s="3">
        <v>5700.4876235940701</v>
      </c>
      <c r="E4" s="3">
        <v>62.937167147359098</v>
      </c>
      <c r="F4" s="3">
        <v>75.501573649786096</v>
      </c>
      <c r="G4" s="3">
        <v>8.8996311056542994E-3</v>
      </c>
      <c r="H4" s="3">
        <v>0.94968436636699505</v>
      </c>
      <c r="I4">
        <v>85.956400000000002</v>
      </c>
      <c r="J4">
        <v>0.1341</v>
      </c>
      <c r="K4">
        <v>0</v>
      </c>
      <c r="L4">
        <v>0</v>
      </c>
      <c r="M4">
        <f t="shared" si="0"/>
        <v>1</v>
      </c>
    </row>
    <row r="5" spans="1:13" x14ac:dyDescent="0.3">
      <c r="A5" s="1">
        <v>45977.887175925927</v>
      </c>
      <c r="B5" t="s">
        <v>15</v>
      </c>
      <c r="C5" s="4">
        <v>42</v>
      </c>
      <c r="D5" s="3">
        <v>260397.06909306001</v>
      </c>
      <c r="E5" s="3">
        <v>470.48433028551898</v>
      </c>
      <c r="F5" s="3">
        <v>510.29116109634901</v>
      </c>
      <c r="G5" s="3">
        <v>6.5550933658919203E-2</v>
      </c>
      <c r="H5" s="3">
        <v>-1.2984075034854701</v>
      </c>
      <c r="I5">
        <v>29.5306</v>
      </c>
      <c r="J5">
        <v>0.14319999999999999</v>
      </c>
      <c r="K5">
        <v>0</v>
      </c>
      <c r="L5">
        <v>0</v>
      </c>
      <c r="M5">
        <f t="shared" si="0"/>
        <v>1</v>
      </c>
    </row>
    <row r="6" spans="1:13" x14ac:dyDescent="0.3">
      <c r="A6" s="1">
        <v>45977.888148148151</v>
      </c>
      <c r="B6" t="s">
        <v>16</v>
      </c>
      <c r="C6" s="4">
        <v>73</v>
      </c>
      <c r="D6" s="3">
        <v>20374.770961021699</v>
      </c>
      <c r="E6" s="3">
        <v>125.12653360413699</v>
      </c>
      <c r="F6" s="3">
        <v>142.74022194539799</v>
      </c>
      <c r="G6" s="3">
        <v>1.7434320630286299E-2</v>
      </c>
      <c r="H6" s="3">
        <v>0.82016108467843696</v>
      </c>
      <c r="I6">
        <v>30.7118</v>
      </c>
      <c r="J6">
        <v>0.1031</v>
      </c>
      <c r="K6">
        <v>0</v>
      </c>
      <c r="L6">
        <v>0</v>
      </c>
      <c r="M6">
        <f t="shared" si="0"/>
        <v>1</v>
      </c>
    </row>
    <row r="7" spans="1:13" x14ac:dyDescent="0.3">
      <c r="A7" s="1">
        <v>45977.888506944444</v>
      </c>
      <c r="B7" t="s">
        <v>17</v>
      </c>
      <c r="C7" s="4">
        <v>73</v>
      </c>
      <c r="D7" s="3">
        <v>101264.79475003701</v>
      </c>
      <c r="E7" s="3">
        <v>291.621277360519</v>
      </c>
      <c r="F7" s="3">
        <v>318.22129839160198</v>
      </c>
      <c r="G7" s="3">
        <v>4.0634325591755602E-2</v>
      </c>
      <c r="H7" s="3">
        <v>0.106181321844208</v>
      </c>
      <c r="I7">
        <v>17.489699999999999</v>
      </c>
      <c r="J7">
        <v>0.1031</v>
      </c>
      <c r="K7">
        <v>0</v>
      </c>
      <c r="L7">
        <v>0</v>
      </c>
      <c r="M7">
        <f t="shared" si="0"/>
        <v>1</v>
      </c>
    </row>
    <row r="8" spans="1:13" x14ac:dyDescent="0.3">
      <c r="A8" s="1">
        <v>45977.889317129629</v>
      </c>
      <c r="B8" t="s">
        <v>18</v>
      </c>
      <c r="C8" s="4">
        <v>73</v>
      </c>
      <c r="D8" s="3">
        <v>5247.5817832268503</v>
      </c>
      <c r="E8" s="3">
        <v>58.313030249251703</v>
      </c>
      <c r="F8" s="3">
        <v>72.440194527809297</v>
      </c>
      <c r="G8" s="3">
        <v>8.3039889606853004E-3</v>
      </c>
      <c r="H8" s="3">
        <v>0.95368196198317401</v>
      </c>
      <c r="I8">
        <v>57.5749</v>
      </c>
      <c r="J8">
        <v>0.13700000000000001</v>
      </c>
      <c r="K8">
        <v>0</v>
      </c>
      <c r="L8">
        <v>0</v>
      </c>
      <c r="M8">
        <f t="shared" si="0"/>
        <v>1</v>
      </c>
    </row>
    <row r="9" spans="1:13" x14ac:dyDescent="0.3">
      <c r="A9" s="1">
        <v>45977.889849537038</v>
      </c>
      <c r="B9" t="s">
        <v>19</v>
      </c>
      <c r="C9" s="4">
        <v>73</v>
      </c>
      <c r="D9" s="3">
        <v>167110.14251587901</v>
      </c>
      <c r="E9" s="3">
        <v>353.39089663710303</v>
      </c>
      <c r="F9" s="3">
        <v>408.79107440828398</v>
      </c>
      <c r="G9" s="3">
        <v>4.8895035024388203E-2</v>
      </c>
      <c r="H9" s="3">
        <v>-0.47500587009202599</v>
      </c>
      <c r="I9">
        <v>38.08</v>
      </c>
      <c r="J9">
        <v>0.1542</v>
      </c>
      <c r="K9">
        <v>0</v>
      </c>
      <c r="L9">
        <v>0</v>
      </c>
      <c r="M9">
        <f t="shared" si="0"/>
        <v>1</v>
      </c>
    </row>
    <row r="10" spans="1:13" x14ac:dyDescent="0.3">
      <c r="A10" s="1">
        <v>45977.890428240738</v>
      </c>
      <c r="B10" t="s">
        <v>20</v>
      </c>
      <c r="C10" s="4">
        <v>1234</v>
      </c>
      <c r="D10" s="3">
        <v>30487.548864961998</v>
      </c>
      <c r="E10" s="3">
        <v>151.76884283138199</v>
      </c>
      <c r="F10" s="3">
        <v>174.60684083094199</v>
      </c>
      <c r="G10" s="3">
        <v>2.1111458060160501E-2</v>
      </c>
      <c r="H10" s="3">
        <v>0.730900154451946</v>
      </c>
      <c r="I10">
        <v>11.6906</v>
      </c>
      <c r="J10">
        <v>0.1105</v>
      </c>
      <c r="K10">
        <v>0</v>
      </c>
      <c r="L10">
        <v>0</v>
      </c>
      <c r="M10">
        <f t="shared" si="0"/>
        <v>1</v>
      </c>
    </row>
    <row r="11" spans="1:13" x14ac:dyDescent="0.3">
      <c r="A11" s="1">
        <v>45977.891597222224</v>
      </c>
      <c r="B11" t="s">
        <v>21</v>
      </c>
      <c r="C11" s="4">
        <v>1234</v>
      </c>
      <c r="D11" s="3">
        <v>59127.989590742298</v>
      </c>
      <c r="E11" s="3">
        <v>210.77625645268401</v>
      </c>
      <c r="F11" s="3">
        <v>243.16247570450099</v>
      </c>
      <c r="G11" s="3">
        <v>2.9205131326267699E-2</v>
      </c>
      <c r="H11" s="3">
        <v>0.47810389949970999</v>
      </c>
      <c r="I11">
        <v>30.6005</v>
      </c>
      <c r="J11">
        <v>0.1042</v>
      </c>
      <c r="K11">
        <v>0</v>
      </c>
      <c r="L11">
        <v>0</v>
      </c>
      <c r="M11">
        <f t="shared" si="0"/>
        <v>1</v>
      </c>
    </row>
    <row r="12" spans="1:13" x14ac:dyDescent="0.3">
      <c r="A12" s="1">
        <v>45977.892754629633</v>
      </c>
      <c r="B12" t="s">
        <v>22</v>
      </c>
      <c r="C12" s="4">
        <v>1234</v>
      </c>
      <c r="D12" s="3">
        <v>5774.2719159811804</v>
      </c>
      <c r="E12" s="3">
        <v>63.098809570818602</v>
      </c>
      <c r="F12" s="3">
        <v>75.988630175712302</v>
      </c>
      <c r="G12" s="3">
        <v>8.9498855236468007E-3</v>
      </c>
      <c r="H12" s="3">
        <v>0.94903310569093402</v>
      </c>
      <c r="I12">
        <v>88.196100000000001</v>
      </c>
      <c r="J12">
        <v>0.14610000000000001</v>
      </c>
      <c r="K12">
        <v>0</v>
      </c>
      <c r="L12">
        <v>0</v>
      </c>
      <c r="M12">
        <f t="shared" si="0"/>
        <v>1</v>
      </c>
    </row>
    <row r="13" spans="1:13" x14ac:dyDescent="0.3">
      <c r="A13" s="1">
        <v>45977.893252314818</v>
      </c>
      <c r="B13" t="s">
        <v>23</v>
      </c>
      <c r="C13" s="4">
        <v>1234</v>
      </c>
      <c r="D13" s="3">
        <v>196509.29262038201</v>
      </c>
      <c r="E13" s="3">
        <v>379.36961238855599</v>
      </c>
      <c r="F13" s="3">
        <v>443.29368664620301</v>
      </c>
      <c r="G13" s="3">
        <v>5.2554445583920799E-2</v>
      </c>
      <c r="H13" s="3">
        <v>-0.73449891059217598</v>
      </c>
      <c r="I13">
        <v>31.6431</v>
      </c>
      <c r="J13">
        <v>0.15409999999999999</v>
      </c>
      <c r="K13">
        <v>0</v>
      </c>
      <c r="L13">
        <v>0</v>
      </c>
      <c r="M13">
        <f t="shared" si="0"/>
        <v>1</v>
      </c>
    </row>
    <row r="14" spans="1:13" x14ac:dyDescent="0.3">
      <c r="A14" s="1">
        <v>45977.896284722221</v>
      </c>
      <c r="B14" t="s">
        <v>24</v>
      </c>
      <c r="C14" s="4">
        <v>31415</v>
      </c>
      <c r="D14" s="3">
        <v>40609.239068207702</v>
      </c>
      <c r="E14" s="3">
        <v>173.54839897482299</v>
      </c>
      <c r="F14" s="3">
        <v>201.517341854758</v>
      </c>
      <c r="G14" s="3">
        <v>2.4061664831156099E-2</v>
      </c>
      <c r="H14" s="3">
        <v>0.64156055937846401</v>
      </c>
      <c r="I14">
        <v>13.640599999999999</v>
      </c>
      <c r="J14">
        <v>0.1007</v>
      </c>
      <c r="K14">
        <v>0</v>
      </c>
      <c r="L14">
        <v>0</v>
      </c>
      <c r="M14">
        <f t="shared" si="0"/>
        <v>1</v>
      </c>
    </row>
    <row r="15" spans="1:13" x14ac:dyDescent="0.3">
      <c r="A15" s="1">
        <v>45977.897129629629</v>
      </c>
      <c r="B15" t="s">
        <v>25</v>
      </c>
      <c r="C15" s="4">
        <v>31415</v>
      </c>
      <c r="D15" s="3">
        <v>283520.022286386</v>
      </c>
      <c r="E15" s="3">
        <v>481.96209836047501</v>
      </c>
      <c r="F15" s="3">
        <v>532.46598228092103</v>
      </c>
      <c r="G15" s="3">
        <v>6.6898343315806894E-2</v>
      </c>
      <c r="H15" s="3">
        <v>-1.50250338408575</v>
      </c>
      <c r="I15">
        <v>12.6976</v>
      </c>
      <c r="J15">
        <v>0.1043</v>
      </c>
      <c r="K15">
        <v>0</v>
      </c>
      <c r="L15">
        <v>0</v>
      </c>
      <c r="M15">
        <f t="shared" si="0"/>
        <v>1</v>
      </c>
    </row>
    <row r="16" spans="1:13" x14ac:dyDescent="0.3">
      <c r="A16" s="1">
        <v>45977.89739583333</v>
      </c>
      <c r="B16" t="s">
        <v>26</v>
      </c>
      <c r="C16" s="4">
        <v>31415</v>
      </c>
      <c r="D16" s="3">
        <v>138519.091835156</v>
      </c>
      <c r="E16" s="3">
        <v>328.71835249058</v>
      </c>
      <c r="F16" s="3">
        <v>372.18153075502897</v>
      </c>
      <c r="G16" s="3">
        <v>4.5675686639203801E-2</v>
      </c>
      <c r="H16" s="3">
        <v>-0.22264555879519601</v>
      </c>
      <c r="I16">
        <v>16.790700000000001</v>
      </c>
      <c r="J16">
        <v>0.1447</v>
      </c>
      <c r="K16">
        <v>0</v>
      </c>
      <c r="L16">
        <v>0</v>
      </c>
      <c r="M16">
        <f t="shared" si="0"/>
        <v>1</v>
      </c>
    </row>
    <row r="17" spans="1:13" x14ac:dyDescent="0.3">
      <c r="A17" s="1">
        <v>45977.897766203707</v>
      </c>
      <c r="B17" t="s">
        <v>27</v>
      </c>
      <c r="C17" s="4">
        <v>31415</v>
      </c>
      <c r="D17" s="3">
        <v>222652.897378569</v>
      </c>
      <c r="E17" s="3">
        <v>422.96469381188302</v>
      </c>
      <c r="F17" s="3">
        <v>471.86109966659501</v>
      </c>
      <c r="G17" s="3">
        <v>5.8684434812970997E-2</v>
      </c>
      <c r="H17" s="3">
        <v>-0.96525672040031596</v>
      </c>
      <c r="I17">
        <v>26.452100000000002</v>
      </c>
      <c r="J17">
        <v>0.15359999999999999</v>
      </c>
      <c r="K17">
        <v>0</v>
      </c>
      <c r="L17">
        <v>0</v>
      </c>
      <c r="M17">
        <f t="shared" si="0"/>
        <v>1</v>
      </c>
    </row>
    <row r="18" spans="1:13" x14ac:dyDescent="0.3">
      <c r="A18" s="1">
        <v>45977.8984375</v>
      </c>
      <c r="B18" t="s">
        <v>28</v>
      </c>
      <c r="C18" s="4">
        <v>271828183</v>
      </c>
      <c r="D18" s="3">
        <v>189822.415139497</v>
      </c>
      <c r="E18" s="3">
        <v>388.73378285911002</v>
      </c>
      <c r="F18" s="3">
        <v>435.68614292802198</v>
      </c>
      <c r="G18" s="3">
        <v>5.4069718064340903E-2</v>
      </c>
      <c r="H18" s="3">
        <v>-0.67547685849886796</v>
      </c>
      <c r="I18">
        <v>6.8414000000000001</v>
      </c>
      <c r="J18">
        <v>9.3899999999999997E-2</v>
      </c>
      <c r="K18">
        <v>0</v>
      </c>
      <c r="L18">
        <v>0</v>
      </c>
      <c r="M18">
        <f t="shared" si="0"/>
        <v>1</v>
      </c>
    </row>
    <row r="19" spans="1:13" x14ac:dyDescent="0.3">
      <c r="A19" s="1">
        <v>45977.898784722223</v>
      </c>
      <c r="B19" t="s">
        <v>29</v>
      </c>
      <c r="C19" s="4">
        <v>271828183</v>
      </c>
      <c r="D19" s="3">
        <v>114538.351501492</v>
      </c>
      <c r="E19" s="3">
        <v>291.80016366267603</v>
      </c>
      <c r="F19" s="3">
        <v>338.43515110208699</v>
      </c>
      <c r="G19" s="3">
        <v>4.0345900305297701E-2</v>
      </c>
      <c r="H19" s="3">
        <v>-1.09783779240799E-2</v>
      </c>
      <c r="I19">
        <v>15.659599999999999</v>
      </c>
      <c r="J19">
        <v>0.12039999999999999</v>
      </c>
      <c r="K19">
        <v>0</v>
      </c>
      <c r="L19">
        <v>0</v>
      </c>
      <c r="M19">
        <f t="shared" si="0"/>
        <v>1</v>
      </c>
    </row>
    <row r="20" spans="1:13" x14ac:dyDescent="0.3">
      <c r="A20" s="1">
        <v>45977.899282407408</v>
      </c>
      <c r="B20" t="s">
        <v>30</v>
      </c>
      <c r="C20" s="4">
        <v>271828183</v>
      </c>
      <c r="D20" s="3">
        <v>4033.6980253252</v>
      </c>
      <c r="E20" s="3">
        <v>43.0500474833186</v>
      </c>
      <c r="F20" s="3">
        <v>63.511400750772303</v>
      </c>
      <c r="G20" s="3">
        <v>6.1635185284180001E-3</v>
      </c>
      <c r="H20" s="3">
        <v>0.96439636651636496</v>
      </c>
      <c r="I20">
        <v>37.621899999999997</v>
      </c>
      <c r="J20">
        <v>0.13969999999999999</v>
      </c>
      <c r="K20">
        <v>0</v>
      </c>
      <c r="L20">
        <v>0</v>
      </c>
      <c r="M20">
        <f t="shared" si="0"/>
        <v>1</v>
      </c>
    </row>
    <row r="21" spans="1:13" x14ac:dyDescent="0.3">
      <c r="A21" s="1">
        <v>45977.899791666663</v>
      </c>
      <c r="B21" t="s">
        <v>31</v>
      </c>
      <c r="C21" s="4">
        <v>271828183</v>
      </c>
      <c r="D21" s="3">
        <v>137104.58325407101</v>
      </c>
      <c r="E21" s="3">
        <v>312.209373611091</v>
      </c>
      <c r="F21" s="3">
        <v>370.27636064711402</v>
      </c>
      <c r="G21" s="3">
        <v>4.3129446280170299E-2</v>
      </c>
      <c r="H21" s="3">
        <v>-0.21016032941902399</v>
      </c>
      <c r="I21">
        <v>36.587499999999999</v>
      </c>
      <c r="J21">
        <v>0.1555</v>
      </c>
      <c r="K21">
        <v>0</v>
      </c>
      <c r="L21">
        <v>0</v>
      </c>
      <c r="M21">
        <f t="shared" si="0"/>
        <v>1</v>
      </c>
    </row>
    <row r="22" spans="1:13" x14ac:dyDescent="0.3">
      <c r="A22" s="1">
        <v>45977.968657407408</v>
      </c>
      <c r="B22" t="s">
        <v>32</v>
      </c>
      <c r="C22" s="4">
        <v>42</v>
      </c>
      <c r="D22" s="3">
        <v>50074.421433420699</v>
      </c>
      <c r="E22" s="3">
        <v>204.50469817397399</v>
      </c>
      <c r="F22" s="3">
        <v>223.773147257262</v>
      </c>
      <c r="G22" s="3">
        <v>2.8390745102540801E-2</v>
      </c>
      <c r="H22" s="3">
        <v>0.54990627422048199</v>
      </c>
      <c r="I22">
        <v>67.787499999999994</v>
      </c>
      <c r="J22">
        <v>0.50609999999999999</v>
      </c>
      <c r="K22">
        <v>50</v>
      </c>
      <c r="L22">
        <v>5386.5142999999998</v>
      </c>
      <c r="M22">
        <f t="shared" si="0"/>
        <v>2</v>
      </c>
    </row>
    <row r="23" spans="1:13" x14ac:dyDescent="0.3">
      <c r="A23" s="1">
        <v>45978.030312499999</v>
      </c>
      <c r="B23" t="s">
        <v>33</v>
      </c>
      <c r="C23" s="4">
        <v>42</v>
      </c>
      <c r="D23" s="3">
        <v>22822.023026275099</v>
      </c>
      <c r="E23" s="3">
        <v>127.79471957616001</v>
      </c>
      <c r="F23" s="3">
        <v>151.06959663107301</v>
      </c>
      <c r="G23" s="3">
        <v>1.7766227043634099E-2</v>
      </c>
      <c r="H23" s="3">
        <v>0.79753380324157097</v>
      </c>
      <c r="I23">
        <v>34.515099999999997</v>
      </c>
      <c r="J23">
        <v>0.46079999999999999</v>
      </c>
      <c r="K23">
        <v>50</v>
      </c>
      <c r="L23">
        <v>5141.5887000000002</v>
      </c>
      <c r="M23">
        <f t="shared" si="0"/>
        <v>2</v>
      </c>
    </row>
    <row r="24" spans="1:13" x14ac:dyDescent="0.3">
      <c r="A24" s="1">
        <v>45978.118564814817</v>
      </c>
      <c r="B24" t="s">
        <v>34</v>
      </c>
      <c r="C24" s="4">
        <v>42</v>
      </c>
      <c r="D24" s="3">
        <v>232357.13836083701</v>
      </c>
      <c r="E24" s="3">
        <v>454.48676649694301</v>
      </c>
      <c r="F24" s="3">
        <v>482.03437466724</v>
      </c>
      <c r="G24" s="3">
        <v>6.3299504886331306E-2</v>
      </c>
      <c r="H24" s="3">
        <v>-1.0839240346982799</v>
      </c>
      <c r="I24">
        <v>117.3895</v>
      </c>
      <c r="J24">
        <v>1.24</v>
      </c>
      <c r="K24">
        <v>50</v>
      </c>
      <c r="L24">
        <v>7467.1219000000001</v>
      </c>
      <c r="M24">
        <f t="shared" si="0"/>
        <v>2</v>
      </c>
    </row>
    <row r="25" spans="1:13" x14ac:dyDescent="0.3">
      <c r="A25" s="1">
        <v>45978.18209490741</v>
      </c>
      <c r="B25" t="s">
        <v>35</v>
      </c>
      <c r="C25" s="4">
        <v>42</v>
      </c>
      <c r="D25" s="3">
        <v>63886.831353102003</v>
      </c>
      <c r="E25" s="3">
        <v>225.49836577719699</v>
      </c>
      <c r="F25" s="3">
        <v>252.75844467218499</v>
      </c>
      <c r="G25" s="3">
        <v>3.1178371675736099E-2</v>
      </c>
      <c r="H25" s="3">
        <v>0.42575348593496198</v>
      </c>
      <c r="I25">
        <v>82.289599999999993</v>
      </c>
      <c r="J25">
        <v>0.63249999999999995</v>
      </c>
      <c r="K25">
        <v>50</v>
      </c>
      <c r="L25">
        <v>4122.4305000000004</v>
      </c>
      <c r="M25">
        <f t="shared" si="0"/>
        <v>2</v>
      </c>
    </row>
    <row r="26" spans="1:13" x14ac:dyDescent="0.3">
      <c r="A26" s="1">
        <v>45978.26939814815</v>
      </c>
      <c r="B26" t="s">
        <v>36</v>
      </c>
      <c r="C26" s="4">
        <v>73</v>
      </c>
      <c r="D26" s="3">
        <v>16872.7577429015</v>
      </c>
      <c r="E26" s="3">
        <v>110.446022460036</v>
      </c>
      <c r="F26" s="3">
        <v>129.89517982935899</v>
      </c>
      <c r="G26" s="3">
        <v>1.53741164601257E-2</v>
      </c>
      <c r="H26" s="3">
        <v>0.84867456347534198</v>
      </c>
      <c r="I26">
        <v>51.397199999999998</v>
      </c>
      <c r="J26">
        <v>0.65780000000000005</v>
      </c>
      <c r="K26">
        <v>50</v>
      </c>
      <c r="L26">
        <v>6094.6413000000002</v>
      </c>
      <c r="M26">
        <f t="shared" si="0"/>
        <v>2</v>
      </c>
    </row>
    <row r="27" spans="1:13" x14ac:dyDescent="0.3">
      <c r="A27" s="1">
        <v>45978.351261574076</v>
      </c>
      <c r="B27" t="s">
        <v>37</v>
      </c>
      <c r="C27" s="4">
        <v>73</v>
      </c>
      <c r="D27" s="3">
        <v>13549.638729251999</v>
      </c>
      <c r="E27" s="3">
        <v>88.576440794402899</v>
      </c>
      <c r="F27" s="3">
        <v>116.40291546714801</v>
      </c>
      <c r="G27" s="3">
        <v>1.25471297679085E-2</v>
      </c>
      <c r="H27" s="3">
        <v>0.87679380282897701</v>
      </c>
      <c r="I27">
        <v>188.4675</v>
      </c>
      <c r="J27">
        <v>1.3151999999999999</v>
      </c>
      <c r="K27">
        <v>50</v>
      </c>
      <c r="L27">
        <v>6379.9955</v>
      </c>
      <c r="M27">
        <f t="shared" si="0"/>
        <v>2</v>
      </c>
    </row>
    <row r="28" spans="1:13" x14ac:dyDescent="0.3">
      <c r="A28" s="1">
        <v>45978.67701388889</v>
      </c>
      <c r="B28" t="s">
        <v>38</v>
      </c>
      <c r="C28" s="4">
        <v>73</v>
      </c>
      <c r="D28" s="3">
        <v>3690.4821185483202</v>
      </c>
      <c r="E28" s="3">
        <v>44.586130735669599</v>
      </c>
      <c r="F28" s="3">
        <v>60.749338420663697</v>
      </c>
      <c r="G28" s="3">
        <v>6.3514632625359998E-3</v>
      </c>
      <c r="H28" s="3">
        <v>0.96725978771087795</v>
      </c>
      <c r="I28">
        <v>268.47590000000002</v>
      </c>
      <c r="J28">
        <v>1.5565</v>
      </c>
      <c r="K28">
        <v>50</v>
      </c>
      <c r="L28">
        <v>10786.723099999999</v>
      </c>
      <c r="M28">
        <f t="shared" si="0"/>
        <v>2</v>
      </c>
    </row>
    <row r="29" spans="1:13" x14ac:dyDescent="0.3">
      <c r="A29" s="1">
        <v>45978.734837962962</v>
      </c>
      <c r="B29" t="s">
        <v>39</v>
      </c>
      <c r="C29" s="4">
        <v>73</v>
      </c>
      <c r="D29" s="3">
        <v>158767.01291528501</v>
      </c>
      <c r="E29" s="3">
        <v>372.66740845812001</v>
      </c>
      <c r="F29" s="3">
        <v>398.455785395676</v>
      </c>
      <c r="G29" s="3">
        <v>5.18904049012704E-2</v>
      </c>
      <c r="H29" s="3">
        <v>-0.42392179756324899</v>
      </c>
      <c r="I29">
        <v>51.2089</v>
      </c>
      <c r="J29">
        <v>0.44990000000000002</v>
      </c>
      <c r="K29">
        <v>50</v>
      </c>
      <c r="L29">
        <v>4842.3991999999998</v>
      </c>
      <c r="M29">
        <f t="shared" si="0"/>
        <v>2</v>
      </c>
    </row>
    <row r="30" spans="1:13" x14ac:dyDescent="0.3">
      <c r="A30" s="1">
        <v>45978.816018518519</v>
      </c>
      <c r="B30" t="s">
        <v>40</v>
      </c>
      <c r="C30" s="4">
        <v>1234</v>
      </c>
      <c r="D30" s="3">
        <v>35533.707274084598</v>
      </c>
      <c r="E30" s="3">
        <v>159.823855805177</v>
      </c>
      <c r="F30" s="3">
        <v>188.50386540886799</v>
      </c>
      <c r="G30" s="3">
        <v>2.2179395774142401E-2</v>
      </c>
      <c r="H30" s="3">
        <v>0.67689375103583005</v>
      </c>
      <c r="I30">
        <v>154.42679999999999</v>
      </c>
      <c r="J30">
        <v>2.1194000000000002</v>
      </c>
      <c r="K30">
        <v>50</v>
      </c>
      <c r="L30">
        <v>6825.8874999999998</v>
      </c>
      <c r="M30">
        <f t="shared" si="0"/>
        <v>2</v>
      </c>
    </row>
    <row r="31" spans="1:13" x14ac:dyDescent="0.3">
      <c r="A31" s="1">
        <v>45978.910381944443</v>
      </c>
      <c r="B31" t="s">
        <v>41</v>
      </c>
      <c r="C31" s="4">
        <v>1234</v>
      </c>
      <c r="D31" s="3">
        <v>357016.56817048002</v>
      </c>
      <c r="E31" s="3">
        <v>555.52008132138599</v>
      </c>
      <c r="F31" s="3">
        <v>597.508634389897</v>
      </c>
      <c r="G31" s="3">
        <v>7.6978689637439604E-2</v>
      </c>
      <c r="H31" s="3">
        <v>-2.20904191667046</v>
      </c>
      <c r="I31">
        <v>65.703800000000001</v>
      </c>
      <c r="J31">
        <v>0.41980000000000001</v>
      </c>
      <c r="K31">
        <v>50</v>
      </c>
      <c r="L31">
        <v>7332.7905000000001</v>
      </c>
      <c r="M31">
        <f t="shared" si="0"/>
        <v>2</v>
      </c>
    </row>
    <row r="32" spans="1:13" x14ac:dyDescent="0.3">
      <c r="A32" s="1">
        <v>45979.040891203702</v>
      </c>
      <c r="B32" t="s">
        <v>42</v>
      </c>
      <c r="C32" s="4">
        <v>1234</v>
      </c>
      <c r="D32" s="3">
        <v>4939.9207347274096</v>
      </c>
      <c r="E32" s="3">
        <v>56.476794797276703</v>
      </c>
      <c r="F32" s="3">
        <v>70.2845696773296</v>
      </c>
      <c r="G32" s="3">
        <v>8.0201153807644993E-3</v>
      </c>
      <c r="H32" s="3">
        <v>0.95617535911269202</v>
      </c>
      <c r="I32">
        <v>479.9846</v>
      </c>
      <c r="J32">
        <v>1.9718</v>
      </c>
      <c r="K32">
        <v>50</v>
      </c>
      <c r="L32">
        <v>9344.6895999999997</v>
      </c>
      <c r="M32">
        <f t="shared" si="0"/>
        <v>2</v>
      </c>
    </row>
    <row r="33" spans="1:13" x14ac:dyDescent="0.3">
      <c r="A33" s="1">
        <v>45979.101446759261</v>
      </c>
      <c r="B33" t="s">
        <v>43</v>
      </c>
      <c r="C33" s="4">
        <v>1234</v>
      </c>
      <c r="D33" s="3">
        <v>117860.275029132</v>
      </c>
      <c r="E33" s="3">
        <v>313.81514716683</v>
      </c>
      <c r="F33" s="3">
        <v>343.30784294730603</v>
      </c>
      <c r="G33" s="3">
        <v>4.37888737573549E-2</v>
      </c>
      <c r="H33" s="3">
        <v>-4.5600629119409097E-2</v>
      </c>
      <c r="I33">
        <v>109.6969</v>
      </c>
      <c r="J33">
        <v>0.62560000000000004</v>
      </c>
      <c r="K33">
        <v>50</v>
      </c>
      <c r="L33">
        <v>5070.6747999999998</v>
      </c>
      <c r="M33">
        <f t="shared" si="0"/>
        <v>2</v>
      </c>
    </row>
    <row r="34" spans="1:13" x14ac:dyDescent="0.3">
      <c r="A34" s="1">
        <v>45979.199074074073</v>
      </c>
      <c r="B34" t="s">
        <v>44</v>
      </c>
      <c r="C34" s="4">
        <v>31415</v>
      </c>
      <c r="D34" s="3">
        <v>19549.976775527299</v>
      </c>
      <c r="E34" s="3">
        <v>123.541605827281</v>
      </c>
      <c r="F34" s="3">
        <v>139.821231490526</v>
      </c>
      <c r="G34" s="3">
        <v>1.7207628238435101E-2</v>
      </c>
      <c r="H34" s="3">
        <v>0.82466358999030698</v>
      </c>
      <c r="I34">
        <v>87.312700000000007</v>
      </c>
      <c r="J34">
        <v>0.52190000000000003</v>
      </c>
      <c r="K34">
        <v>50</v>
      </c>
      <c r="L34">
        <v>4736.6418999999996</v>
      </c>
      <c r="M34">
        <f t="shared" ref="M34:M61" si="1">IF(ISNUMBER(SEARCH("baseline",B34)),1,IF(ISNUMBER(SEARCH("rs",B34)),2,IF(ISNUMBER(SEARCH("optuna",B34)),3,"")))</f>
        <v>2</v>
      </c>
    </row>
    <row r="35" spans="1:13" x14ac:dyDescent="0.3">
      <c r="A35" s="1">
        <v>45979.262083333335</v>
      </c>
      <c r="B35" t="s">
        <v>45</v>
      </c>
      <c r="C35" s="4">
        <v>31415</v>
      </c>
      <c r="D35" s="3">
        <v>8700.6525634769296</v>
      </c>
      <c r="E35" s="3">
        <v>73.751330827509094</v>
      </c>
      <c r="F35" s="3">
        <v>93.277288572711697</v>
      </c>
      <c r="G35" s="3">
        <v>1.0352175832634199E-2</v>
      </c>
      <c r="H35" s="3">
        <v>0.92196711010258803</v>
      </c>
      <c r="I35">
        <v>138.93770000000001</v>
      </c>
      <c r="J35">
        <v>0.76239999999999997</v>
      </c>
      <c r="K35">
        <v>50</v>
      </c>
      <c r="L35">
        <v>4789.2551000000003</v>
      </c>
      <c r="M35">
        <f t="shared" si="1"/>
        <v>2</v>
      </c>
    </row>
    <row r="36" spans="1:13" x14ac:dyDescent="0.3">
      <c r="A36" s="1">
        <v>45979.726238425923</v>
      </c>
      <c r="B36" t="s">
        <v>46</v>
      </c>
      <c r="C36" s="4">
        <v>31415</v>
      </c>
      <c r="D36" s="3">
        <v>25655.3783007741</v>
      </c>
      <c r="E36" s="3">
        <v>148.24243768699799</v>
      </c>
      <c r="F36" s="3">
        <v>160.17296370103799</v>
      </c>
      <c r="G36" s="3">
        <v>2.07446296035966E-2</v>
      </c>
      <c r="H36" s="3">
        <v>0.76990653337607495</v>
      </c>
      <c r="I36">
        <v>455.38799999999998</v>
      </c>
      <c r="J36">
        <v>2.9197000000000002</v>
      </c>
      <c r="K36">
        <v>50</v>
      </c>
      <c r="L36">
        <v>22685.670999999998</v>
      </c>
      <c r="M36">
        <f t="shared" si="1"/>
        <v>2</v>
      </c>
    </row>
    <row r="37" spans="1:13" x14ac:dyDescent="0.3">
      <c r="A37" s="1">
        <v>45979.779363425929</v>
      </c>
      <c r="B37" t="s">
        <v>47</v>
      </c>
      <c r="C37" s="4">
        <v>31415</v>
      </c>
      <c r="D37" s="3">
        <v>152095.50598780299</v>
      </c>
      <c r="E37" s="3">
        <v>352.81295693199598</v>
      </c>
      <c r="F37" s="3">
        <v>389.99423840334202</v>
      </c>
      <c r="G37" s="3">
        <v>4.90338021147581E-2</v>
      </c>
      <c r="H37" s="3">
        <v>-0.38299693991871397</v>
      </c>
      <c r="I37">
        <v>186.3296</v>
      </c>
      <c r="J37">
        <v>1.1433</v>
      </c>
      <c r="K37">
        <v>50</v>
      </c>
      <c r="L37">
        <v>4176.8764000000001</v>
      </c>
      <c r="M37">
        <f t="shared" si="1"/>
        <v>2</v>
      </c>
    </row>
    <row r="38" spans="1:13" x14ac:dyDescent="0.3">
      <c r="A38" s="1">
        <v>45979.846412037034</v>
      </c>
      <c r="B38" t="s">
        <v>48</v>
      </c>
      <c r="C38" s="4">
        <v>271828183</v>
      </c>
      <c r="D38" s="3">
        <v>27801.8736572499</v>
      </c>
      <c r="E38" s="3">
        <v>150.27057849123099</v>
      </c>
      <c r="F38" s="3">
        <v>166.73893863537</v>
      </c>
      <c r="G38" s="3">
        <v>2.1008284044185799E-2</v>
      </c>
      <c r="H38" s="3">
        <v>0.74719893305021901</v>
      </c>
      <c r="I38">
        <v>172.60769999999999</v>
      </c>
      <c r="J38">
        <v>1.1174999999999999</v>
      </c>
      <c r="K38">
        <v>50</v>
      </c>
      <c r="L38">
        <v>5376.2721000000001</v>
      </c>
      <c r="M38">
        <f t="shared" si="1"/>
        <v>2</v>
      </c>
    </row>
    <row r="39" spans="1:13" x14ac:dyDescent="0.3">
      <c r="A39" s="1">
        <v>45979.905092592591</v>
      </c>
      <c r="B39" t="s">
        <v>49</v>
      </c>
      <c r="C39" s="4">
        <v>271828183</v>
      </c>
      <c r="D39" s="3">
        <v>24576.603021536099</v>
      </c>
      <c r="E39" s="3">
        <v>127.795244616601</v>
      </c>
      <c r="F39" s="3">
        <v>156.769266827194</v>
      </c>
      <c r="G39" s="3">
        <v>1.7719861490154001E-2</v>
      </c>
      <c r="H39" s="3">
        <v>0.77909330743491001</v>
      </c>
      <c r="I39">
        <v>440.60250000000002</v>
      </c>
      <c r="J39">
        <v>1.1791</v>
      </c>
      <c r="K39">
        <v>50</v>
      </c>
      <c r="L39">
        <v>4310.5711000000001</v>
      </c>
      <c r="M39">
        <f t="shared" si="1"/>
        <v>2</v>
      </c>
    </row>
    <row r="40" spans="1:13" x14ac:dyDescent="0.3">
      <c r="A40" s="5">
        <v>45980.168912037036</v>
      </c>
      <c r="B40" s="6" t="s">
        <v>50</v>
      </c>
      <c r="C40" s="7">
        <v>271828183</v>
      </c>
      <c r="D40" s="8">
        <v>3112.8902865704799</v>
      </c>
      <c r="E40" s="8">
        <v>36.666303733705298</v>
      </c>
      <c r="F40" s="8">
        <v>55.793281733291799</v>
      </c>
      <c r="G40" s="8">
        <v>5.2393578050472997E-3</v>
      </c>
      <c r="H40" s="8">
        <v>0.97238390932641805</v>
      </c>
      <c r="I40" s="6">
        <v>554.16970000000003</v>
      </c>
      <c r="J40" s="6">
        <v>2.9891000000000001</v>
      </c>
      <c r="K40" s="6">
        <v>50</v>
      </c>
      <c r="L40" s="6">
        <v>7919.4931999999999</v>
      </c>
      <c r="M40">
        <f t="shared" si="1"/>
        <v>2</v>
      </c>
    </row>
    <row r="41" spans="1:13" x14ac:dyDescent="0.3">
      <c r="A41" s="1">
        <v>45980.243680555555</v>
      </c>
      <c r="B41" t="s">
        <v>51</v>
      </c>
      <c r="C41" s="4">
        <v>271828183</v>
      </c>
      <c r="D41" s="3">
        <v>76440.577093496904</v>
      </c>
      <c r="E41" s="3">
        <v>240.49775807714201</v>
      </c>
      <c r="F41" s="3">
        <v>276.47889086419701</v>
      </c>
      <c r="G41" s="3">
        <v>3.3352575068164303E-2</v>
      </c>
      <c r="H41" s="3">
        <v>0.321855345412566</v>
      </c>
      <c r="I41">
        <v>224.49459999999999</v>
      </c>
      <c r="J41">
        <v>1.0381</v>
      </c>
      <c r="K41">
        <v>50</v>
      </c>
      <c r="L41">
        <v>6076.4821000000002</v>
      </c>
      <c r="M41">
        <f t="shared" si="1"/>
        <v>2</v>
      </c>
    </row>
    <row r="42" spans="1:13" x14ac:dyDescent="0.3">
      <c r="A42" s="1">
        <v>45954.918055555558</v>
      </c>
      <c r="B42" t="s">
        <v>52</v>
      </c>
      <c r="C42" s="4">
        <v>42</v>
      </c>
      <c r="D42" s="3">
        <v>14965.8567</v>
      </c>
      <c r="E42" s="3">
        <v>102.24748</v>
      </c>
      <c r="F42" s="3">
        <v>122.3350183</v>
      </c>
      <c r="G42" s="3">
        <v>1.4162727999999999E-2</v>
      </c>
      <c r="H42" s="3">
        <v>0.86547945999999998</v>
      </c>
      <c r="I42">
        <v>145.3168</v>
      </c>
      <c r="J42">
        <v>0.56359999999999999</v>
      </c>
      <c r="K42">
        <v>50</v>
      </c>
      <c r="L42">
        <v>3105.2177000000001</v>
      </c>
      <c r="M42">
        <f t="shared" si="1"/>
        <v>3</v>
      </c>
    </row>
    <row r="43" spans="1:13" x14ac:dyDescent="0.3">
      <c r="A43" s="1">
        <v>45954.913194444445</v>
      </c>
      <c r="B43" t="s">
        <v>53</v>
      </c>
      <c r="C43" s="4">
        <v>42</v>
      </c>
      <c r="D43" s="3">
        <v>15275.02205</v>
      </c>
      <c r="E43" s="3">
        <v>104.1174554</v>
      </c>
      <c r="F43" s="3">
        <v>123.5921602</v>
      </c>
      <c r="G43" s="3">
        <v>1.4509317000000001E-2</v>
      </c>
      <c r="H43" s="3">
        <v>0.86448722700000002</v>
      </c>
      <c r="I43">
        <v>40.224699999999999</v>
      </c>
      <c r="J43">
        <v>0.26979999999999998</v>
      </c>
      <c r="K43">
        <v>50</v>
      </c>
      <c r="L43">
        <v>2521.7449999999999</v>
      </c>
      <c r="M43">
        <f t="shared" si="1"/>
        <v>3</v>
      </c>
    </row>
    <row r="44" spans="1:13" x14ac:dyDescent="0.3">
      <c r="A44" s="1">
        <v>45955.015972222223</v>
      </c>
      <c r="B44" t="s">
        <v>54</v>
      </c>
      <c r="C44" s="4">
        <v>42</v>
      </c>
      <c r="D44" s="3">
        <v>6027.7382870000001</v>
      </c>
      <c r="E44" s="3">
        <v>64.953746519999996</v>
      </c>
      <c r="F44" s="3">
        <v>77.638510339999996</v>
      </c>
      <c r="G44" s="3">
        <v>9.1887429999999992E-3</v>
      </c>
      <c r="H44" s="3">
        <v>0.94652475599999997</v>
      </c>
      <c r="I44">
        <v>144.59119999999999</v>
      </c>
      <c r="J44">
        <v>0.46639999999999998</v>
      </c>
      <c r="K44">
        <v>50</v>
      </c>
      <c r="L44">
        <v>6003.6256000000003</v>
      </c>
      <c r="M44">
        <f t="shared" si="1"/>
        <v>3</v>
      </c>
    </row>
    <row r="45" spans="1:13" x14ac:dyDescent="0.3">
      <c r="A45" s="1">
        <v>45954.988888888889</v>
      </c>
      <c r="B45" t="s">
        <v>55</v>
      </c>
      <c r="C45" s="4">
        <v>42</v>
      </c>
      <c r="D45" s="3">
        <v>124489.0975</v>
      </c>
      <c r="E45" s="3">
        <v>308.8016629</v>
      </c>
      <c r="F45" s="3">
        <v>352.83012550000001</v>
      </c>
      <c r="G45" s="3">
        <v>4.2861832000000002E-2</v>
      </c>
      <c r="H45" s="3">
        <v>-0.10440840699999999</v>
      </c>
      <c r="I45">
        <v>54.548099999999998</v>
      </c>
      <c r="J45">
        <v>0.34539999999999998</v>
      </c>
      <c r="K45">
        <v>50</v>
      </c>
      <c r="L45">
        <v>3776.7267999999999</v>
      </c>
      <c r="M45">
        <f t="shared" si="1"/>
        <v>3</v>
      </c>
    </row>
    <row r="46" spans="1:13" x14ac:dyDescent="0.3">
      <c r="A46" s="1">
        <v>45955.637499999997</v>
      </c>
      <c r="B46" t="s">
        <v>56</v>
      </c>
      <c r="C46" s="4">
        <v>73</v>
      </c>
      <c r="D46" s="3">
        <v>24530.232830000001</v>
      </c>
      <c r="E46" s="3">
        <v>139.78241600000001</v>
      </c>
      <c r="F46" s="3">
        <v>156.62130389999999</v>
      </c>
      <c r="G46" s="3">
        <v>1.95339E-2</v>
      </c>
      <c r="H46" s="3">
        <v>0.77694780200000002</v>
      </c>
      <c r="I46">
        <v>306.27460000000002</v>
      </c>
      <c r="J46">
        <v>1.8667</v>
      </c>
      <c r="K46">
        <v>50</v>
      </c>
      <c r="L46">
        <v>6046.8275999999996</v>
      </c>
      <c r="M46">
        <f t="shared" si="1"/>
        <v>3</v>
      </c>
    </row>
    <row r="47" spans="1:13" x14ac:dyDescent="0.3">
      <c r="A47" s="1">
        <v>45955.606944444444</v>
      </c>
      <c r="B47" t="s">
        <v>57</v>
      </c>
      <c r="C47" s="4">
        <v>73</v>
      </c>
      <c r="D47" s="3">
        <v>43413.540950000002</v>
      </c>
      <c r="E47" s="3">
        <v>185.71149199999999</v>
      </c>
      <c r="F47" s="3">
        <v>208.3591634</v>
      </c>
      <c r="G47" s="3">
        <v>2.5839291E-2</v>
      </c>
      <c r="H47" s="3">
        <v>0.61485559300000003</v>
      </c>
      <c r="I47">
        <v>52.909799999999997</v>
      </c>
      <c r="J47">
        <v>0.43709999999999999</v>
      </c>
      <c r="K47">
        <v>50</v>
      </c>
      <c r="L47">
        <v>3671.6410000000001</v>
      </c>
      <c r="M47">
        <f t="shared" si="1"/>
        <v>3</v>
      </c>
    </row>
    <row r="48" spans="1:13" x14ac:dyDescent="0.3">
      <c r="A48" s="1">
        <v>45955.682638888888</v>
      </c>
      <c r="B48" t="s">
        <v>58</v>
      </c>
      <c r="C48" s="4">
        <v>73</v>
      </c>
      <c r="D48" s="3">
        <v>7866.8563000000004</v>
      </c>
      <c r="E48" s="3">
        <v>75.0351</v>
      </c>
      <c r="F48" s="3">
        <v>88.695300000000003</v>
      </c>
      <c r="G48" s="3">
        <v>1.06E-2</v>
      </c>
      <c r="H48" s="3">
        <v>0.92849999999999999</v>
      </c>
      <c r="I48">
        <v>656.11090000000002</v>
      </c>
      <c r="J48">
        <v>2.2953000000000001</v>
      </c>
      <c r="K48">
        <v>50</v>
      </c>
      <c r="L48">
        <v>9592.1751000000004</v>
      </c>
      <c r="M48">
        <f t="shared" si="1"/>
        <v>3</v>
      </c>
    </row>
    <row r="49" spans="1:13" x14ac:dyDescent="0.3">
      <c r="A49" s="1">
        <v>45955.685416666667</v>
      </c>
      <c r="B49" t="s">
        <v>59</v>
      </c>
      <c r="C49" s="4">
        <v>73</v>
      </c>
      <c r="D49" s="3">
        <v>237619.78810000001</v>
      </c>
      <c r="E49" s="3">
        <v>438.72888219999999</v>
      </c>
      <c r="F49" s="3">
        <v>487.46260169999999</v>
      </c>
      <c r="G49" s="3">
        <v>6.0713007999999999E-2</v>
      </c>
      <c r="H49" s="3">
        <v>-1.1606650220000001</v>
      </c>
      <c r="I49">
        <v>47.065399999999997</v>
      </c>
      <c r="J49">
        <v>0.443</v>
      </c>
      <c r="K49">
        <v>50</v>
      </c>
      <c r="L49">
        <v>6568.7703000000001</v>
      </c>
      <c r="M49">
        <f t="shared" si="1"/>
        <v>3</v>
      </c>
    </row>
    <row r="50" spans="1:13" x14ac:dyDescent="0.3">
      <c r="A50" s="1">
        <v>45956.913888888892</v>
      </c>
      <c r="B50" t="s">
        <v>60</v>
      </c>
      <c r="C50" s="4">
        <v>1234</v>
      </c>
      <c r="D50" s="3">
        <v>8551.8931630000006</v>
      </c>
      <c r="E50" s="3">
        <v>73.872558589999997</v>
      </c>
      <c r="F50" s="3">
        <v>92.476446530000004</v>
      </c>
      <c r="G50" s="3">
        <v>1.0298032E-2</v>
      </c>
      <c r="H50" s="3">
        <v>0.92413164800000003</v>
      </c>
      <c r="I50">
        <v>68.967799999999997</v>
      </c>
      <c r="J50">
        <v>0.24229999999999999</v>
      </c>
      <c r="K50">
        <v>50</v>
      </c>
      <c r="L50">
        <v>3849.8530000000001</v>
      </c>
      <c r="M50">
        <f t="shared" si="1"/>
        <v>3</v>
      </c>
    </row>
    <row r="51" spans="1:13" x14ac:dyDescent="0.3">
      <c r="A51" s="1">
        <v>45956.974999999999</v>
      </c>
      <c r="B51" t="s">
        <v>61</v>
      </c>
      <c r="C51" s="4">
        <v>1234</v>
      </c>
      <c r="D51" s="3">
        <v>15130.404070000001</v>
      </c>
      <c r="E51" s="3">
        <v>101.45408020000001</v>
      </c>
      <c r="F51" s="3">
        <v>123.0057075</v>
      </c>
      <c r="G51" s="3">
        <v>1.4068651E-2</v>
      </c>
      <c r="H51" s="3">
        <v>0.86400042700000002</v>
      </c>
      <c r="I51">
        <v>218.56890000000001</v>
      </c>
      <c r="J51">
        <v>0.71020000000000005</v>
      </c>
      <c r="K51">
        <v>50</v>
      </c>
      <c r="L51">
        <v>4942.1975000000002</v>
      </c>
      <c r="M51">
        <f t="shared" si="1"/>
        <v>3</v>
      </c>
    </row>
    <row r="52" spans="1:13" x14ac:dyDescent="0.3">
      <c r="A52" s="1">
        <v>45956.984722222223</v>
      </c>
      <c r="B52" t="s">
        <v>62</v>
      </c>
      <c r="C52" s="4">
        <v>1234</v>
      </c>
      <c r="D52" s="3">
        <v>3550.7193040000002</v>
      </c>
      <c r="E52" s="3">
        <v>41.386328149999997</v>
      </c>
      <c r="F52" s="3">
        <v>59.5879124</v>
      </c>
      <c r="G52" s="3">
        <v>5.9021200000000003E-3</v>
      </c>
      <c r="H52" s="3">
        <v>0.96771348400000001</v>
      </c>
      <c r="I52">
        <v>134.32409999999999</v>
      </c>
      <c r="J52">
        <v>0.71960000000000002</v>
      </c>
      <c r="K52">
        <v>50</v>
      </c>
      <c r="L52">
        <v>6194.0015000000003</v>
      </c>
      <c r="M52">
        <f t="shared" si="1"/>
        <v>3</v>
      </c>
    </row>
    <row r="53" spans="1:13" x14ac:dyDescent="0.3">
      <c r="A53" s="1">
        <v>45956.910416666666</v>
      </c>
      <c r="B53" t="s">
        <v>63</v>
      </c>
      <c r="C53" s="4">
        <v>1234</v>
      </c>
      <c r="D53" s="3">
        <v>190132.5779</v>
      </c>
      <c r="E53" s="3">
        <v>390.83564799999999</v>
      </c>
      <c r="F53" s="3">
        <v>436.04194510000002</v>
      </c>
      <c r="G53" s="3">
        <v>5.4219252000000003E-2</v>
      </c>
      <c r="H53" s="3">
        <v>-0.68676632599999998</v>
      </c>
      <c r="I53">
        <v>51.968699999999998</v>
      </c>
      <c r="J53">
        <v>0.40899999999999997</v>
      </c>
      <c r="K53">
        <v>50</v>
      </c>
      <c r="L53">
        <v>3564.4483</v>
      </c>
      <c r="M53">
        <f t="shared" si="1"/>
        <v>3</v>
      </c>
    </row>
    <row r="54" spans="1:13" x14ac:dyDescent="0.3">
      <c r="A54" s="1">
        <v>45957.635416666664</v>
      </c>
      <c r="B54" t="s">
        <v>64</v>
      </c>
      <c r="C54" s="4">
        <v>31415</v>
      </c>
      <c r="D54" s="3">
        <v>10721.65209</v>
      </c>
      <c r="E54" s="3">
        <v>81.278615560000006</v>
      </c>
      <c r="F54" s="3">
        <v>103.5454108</v>
      </c>
      <c r="G54" s="3">
        <v>1.1268525E-2</v>
      </c>
      <c r="H54" s="3">
        <v>0.90362847499999999</v>
      </c>
      <c r="I54">
        <v>479.50150000000002</v>
      </c>
      <c r="J54">
        <v>1.6535</v>
      </c>
      <c r="K54">
        <v>50</v>
      </c>
      <c r="L54">
        <v>5423.7608</v>
      </c>
      <c r="M54">
        <f t="shared" si="1"/>
        <v>3</v>
      </c>
    </row>
    <row r="55" spans="1:13" x14ac:dyDescent="0.3">
      <c r="A55" s="1">
        <v>45957.652777777781</v>
      </c>
      <c r="B55" t="s">
        <v>65</v>
      </c>
      <c r="C55" s="4">
        <v>31415</v>
      </c>
      <c r="D55" s="3">
        <v>36569.585469999998</v>
      </c>
      <c r="E55" s="3">
        <v>167.0486406</v>
      </c>
      <c r="F55" s="3">
        <v>191.23175850000001</v>
      </c>
      <c r="G55" s="3">
        <v>2.3187266000000002E-2</v>
      </c>
      <c r="H55" s="3">
        <v>0.67202110199999998</v>
      </c>
      <c r="I55">
        <v>59.4163</v>
      </c>
      <c r="J55">
        <v>0.2802</v>
      </c>
      <c r="K55">
        <v>50</v>
      </c>
      <c r="L55">
        <v>3921.2763</v>
      </c>
      <c r="M55">
        <f t="shared" si="1"/>
        <v>3</v>
      </c>
    </row>
    <row r="56" spans="1:13" x14ac:dyDescent="0.3">
      <c r="A56" s="1">
        <v>45957.64166666667</v>
      </c>
      <c r="B56" t="s">
        <v>66</v>
      </c>
      <c r="C56" s="4">
        <v>31415</v>
      </c>
      <c r="D56" s="3">
        <v>3643.238257</v>
      </c>
      <c r="E56" s="3">
        <v>39.937209189999997</v>
      </c>
      <c r="F56" s="3">
        <v>60.359243339999999</v>
      </c>
      <c r="G56" s="3">
        <v>5.7458680000000003E-3</v>
      </c>
      <c r="H56" s="3">
        <v>0.96732516199999996</v>
      </c>
      <c r="I56">
        <v>281.54469999999998</v>
      </c>
      <c r="J56">
        <v>0.38300000000000001</v>
      </c>
      <c r="K56">
        <v>50</v>
      </c>
      <c r="L56">
        <v>6188.4557000000004</v>
      </c>
      <c r="M56">
        <f t="shared" si="1"/>
        <v>3</v>
      </c>
    </row>
    <row r="57" spans="1:13" x14ac:dyDescent="0.3">
      <c r="A57" s="1">
        <v>45957.67083333333</v>
      </c>
      <c r="B57" t="s">
        <v>67</v>
      </c>
      <c r="C57" s="4">
        <v>31415</v>
      </c>
      <c r="D57" s="3">
        <v>188610.42430000001</v>
      </c>
      <c r="E57" s="3">
        <v>395.34565220000002</v>
      </c>
      <c r="F57" s="3">
        <v>434.29301670000001</v>
      </c>
      <c r="G57" s="3">
        <v>5.5013284000000003E-2</v>
      </c>
      <c r="H57" s="3">
        <v>-0.67326249900000001</v>
      </c>
      <c r="I57">
        <v>74.380899999999997</v>
      </c>
      <c r="J57">
        <v>0.37680000000000002</v>
      </c>
      <c r="K57">
        <v>50</v>
      </c>
      <c r="L57">
        <v>5495.5852000000004</v>
      </c>
      <c r="M57">
        <f t="shared" si="1"/>
        <v>3</v>
      </c>
    </row>
    <row r="58" spans="1:13" x14ac:dyDescent="0.3">
      <c r="A58" s="1">
        <v>45958.524305555555</v>
      </c>
      <c r="B58" t="s">
        <v>68</v>
      </c>
      <c r="C58" s="4">
        <v>271828183</v>
      </c>
      <c r="D58" s="3">
        <v>7899.7227419999999</v>
      </c>
      <c r="E58" s="3">
        <v>67.908365619999998</v>
      </c>
      <c r="F58" s="3">
        <v>88.880384460000002</v>
      </c>
      <c r="G58" s="3">
        <v>9.471897E-3</v>
      </c>
      <c r="H58" s="3">
        <v>0.92899337500000001</v>
      </c>
      <c r="I58">
        <v>278.77850000000001</v>
      </c>
      <c r="J58">
        <v>1.2461</v>
      </c>
      <c r="K58">
        <v>50</v>
      </c>
      <c r="L58">
        <v>6202.6112999999996</v>
      </c>
      <c r="M58">
        <f t="shared" si="1"/>
        <v>3</v>
      </c>
    </row>
    <row r="59" spans="1:13" x14ac:dyDescent="0.3">
      <c r="A59" s="1">
        <v>45958.553472222222</v>
      </c>
      <c r="B59" t="s">
        <v>69</v>
      </c>
      <c r="C59" s="4">
        <v>271828183</v>
      </c>
      <c r="D59" s="3">
        <v>20242.05587</v>
      </c>
      <c r="E59" s="3">
        <v>121.1373912</v>
      </c>
      <c r="F59" s="3">
        <v>142.27457920000001</v>
      </c>
      <c r="G59" s="3">
        <v>1.6876726000000002E-2</v>
      </c>
      <c r="H59" s="3">
        <v>0.82042205199999996</v>
      </c>
      <c r="I59">
        <v>36.454500000000003</v>
      </c>
      <c r="J59">
        <v>0.2001</v>
      </c>
      <c r="K59">
        <v>50</v>
      </c>
      <c r="L59">
        <v>2415.0158000000001</v>
      </c>
      <c r="M59">
        <f t="shared" si="1"/>
        <v>3</v>
      </c>
    </row>
    <row r="60" spans="1:13" x14ac:dyDescent="0.3">
      <c r="A60" s="1">
        <v>45958.545138888891</v>
      </c>
      <c r="B60" t="s">
        <v>70</v>
      </c>
      <c r="C60" s="4">
        <v>271828183</v>
      </c>
      <c r="D60" s="3">
        <v>6187.8986000000004</v>
      </c>
      <c r="E60" s="3">
        <v>58.393099999999997</v>
      </c>
      <c r="F60" s="3">
        <v>78.663200000000003</v>
      </c>
      <c r="G60" s="3">
        <v>8.3999999999999995E-3</v>
      </c>
      <c r="H60" s="3">
        <v>0.94450000000000001</v>
      </c>
      <c r="I60">
        <v>77.9696</v>
      </c>
      <c r="J60">
        <v>0.36730000000000002</v>
      </c>
      <c r="K60">
        <v>50</v>
      </c>
      <c r="L60">
        <v>3565.8802000000001</v>
      </c>
      <c r="M60">
        <f t="shared" si="1"/>
        <v>3</v>
      </c>
    </row>
    <row r="61" spans="1:13" x14ac:dyDescent="0.3">
      <c r="A61" s="1">
        <v>45958.499305555553</v>
      </c>
      <c r="B61" t="s">
        <v>71</v>
      </c>
      <c r="C61" s="4">
        <v>271828183</v>
      </c>
      <c r="D61" s="3">
        <v>60019.281880000002</v>
      </c>
      <c r="E61" s="3">
        <v>195.77173759999999</v>
      </c>
      <c r="F61" s="3">
        <v>244.98833010000001</v>
      </c>
      <c r="G61" s="3">
        <v>2.6950216999999999E-2</v>
      </c>
      <c r="H61" s="3">
        <v>0.46753731199999998</v>
      </c>
      <c r="I61">
        <v>17.872900000000001</v>
      </c>
      <c r="J61">
        <v>0.25650000000000001</v>
      </c>
      <c r="K61">
        <v>50</v>
      </c>
      <c r="L61">
        <v>4286.2713000000003</v>
      </c>
      <c r="M61">
        <f t="shared" si="1"/>
        <v>3</v>
      </c>
    </row>
  </sheetData>
  <sortState xmlns:xlrd2="http://schemas.microsoft.com/office/spreadsheetml/2017/richdata2" ref="A2:M61">
    <sortCondition ref="M2:M61"/>
    <sortCondition ref="C2:C61"/>
    <sortCondition ref="B2:B61"/>
  </sortState>
  <conditionalFormatting sqref="D2:D61">
    <cfRule type="top10" dxfId="8" priority="8" bottom="1" rank="1"/>
    <cfRule type="top10" dxfId="7" priority="9" percent="1" bottom="1" rank="10"/>
  </conditionalFormatting>
  <conditionalFormatting sqref="E2:E61">
    <cfRule type="top10" dxfId="6" priority="6" bottom="1" rank="1"/>
    <cfRule type="top10" dxfId="5" priority="7" percent="1" bottom="1" rank="10"/>
  </conditionalFormatting>
  <conditionalFormatting sqref="F2:F61">
    <cfRule type="top10" dxfId="4" priority="4" percent="1" bottom="1" rank="1"/>
    <cfRule type="top10" dxfId="3" priority="5" percent="1" bottom="1" rank="10"/>
  </conditionalFormatting>
  <conditionalFormatting sqref="G2:G61">
    <cfRule type="top10" dxfId="2" priority="2" percent="1" bottom="1" rank="1"/>
    <cfRule type="top10" dxfId="1" priority="3" percent="1" bottom="1" rank="10"/>
  </conditionalFormatting>
  <conditionalFormatting sqref="H2:H61">
    <cfRule type="top10" dxfId="0" priority="1" rank="1"/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:L6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4BF4-0CA2-40CA-9DAF-F36E8005126F}">
  <dimension ref="A4:P73"/>
  <sheetViews>
    <sheetView tabSelected="1" zoomScale="80" zoomScaleNormal="80" workbookViewId="0">
      <selection activeCell="L16" sqref="L16"/>
    </sheetView>
  </sheetViews>
  <sheetFormatPr defaultRowHeight="14.4" x14ac:dyDescent="0.3"/>
  <cols>
    <col min="1" max="1" width="18.33203125" bestFit="1" customWidth="1"/>
    <col min="2" max="2" width="30.44140625" bestFit="1" customWidth="1"/>
    <col min="3" max="3" width="10" bestFit="1" customWidth="1"/>
    <col min="4" max="4" width="11.5546875" bestFit="1" customWidth="1"/>
    <col min="5" max="6" width="8.5546875" bestFit="1" customWidth="1"/>
    <col min="7" max="7" width="6.5546875" bestFit="1" customWidth="1"/>
    <col min="8" max="8" width="8.5546875" bestFit="1" customWidth="1"/>
    <col min="9" max="9" width="9.6640625" hidden="1" customWidth="1"/>
    <col min="12" max="12" width="24.44140625" bestFit="1" customWidth="1"/>
    <col min="13" max="15" width="18.33203125" bestFit="1" customWidth="1"/>
    <col min="16" max="16" width="14.88671875" bestFit="1" customWidth="1"/>
  </cols>
  <sheetData>
    <row r="4" spans="1:16" ht="15" thickBot="1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10" t="s">
        <v>72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</row>
    <row r="5" spans="1:16" x14ac:dyDescent="0.3">
      <c r="A5" s="11">
        <v>45977.884479166663</v>
      </c>
      <c r="B5" s="12" t="s">
        <v>12</v>
      </c>
      <c r="C5" s="12">
        <v>42</v>
      </c>
      <c r="D5" s="27">
        <v>36724.369587909503</v>
      </c>
      <c r="E5" s="27">
        <v>172.803324426496</v>
      </c>
      <c r="F5" s="27">
        <v>191.63603415826901</v>
      </c>
      <c r="G5" s="27">
        <v>2.4130384080150301E-2</v>
      </c>
      <c r="H5" s="27">
        <v>0.67585055040900099</v>
      </c>
      <c r="I5">
        <f t="shared" ref="I5:I19" si="0">IF(ISNUMBER(SEARCH("gru",B5)),1,IF(ISNUMBER(SEARCH("lstm",B5)),2,IF(ISNUMBER(SEARCH("tcn",B5)),3,IF(ISNUMBER(SEARCH("transformer",B5)),4,""))))</f>
        <v>1</v>
      </c>
      <c r="K5" t="s">
        <v>73</v>
      </c>
      <c r="L5" t="str">
        <f>TEXT(AVERAGE(D5,D8,D11,D14,D17),"0.0000") &amp; " ± " &amp; TEXT(_xlfn.STDEV.S(D5,D8,D11,D14,D17),"0.0000")</f>
        <v>63603.6687 ± 70971.5215</v>
      </c>
      <c r="M5" t="str">
        <f t="shared" ref="M5:O5" si="1">TEXT(AVERAGE(E5,E8,E11,E14,E17),"0.0000") &amp; " ± " &amp; TEXT(_xlfn.STDEV.S(E5,E8,E11,E14,E17),"0.0000")</f>
        <v>202.3962 ± 106.0228</v>
      </c>
      <c r="N5" t="str">
        <f t="shared" si="1"/>
        <v>229.2373 ± 117.5474</v>
      </c>
      <c r="O5" t="str">
        <f t="shared" si="1"/>
        <v>0.0282 ± 0.0147</v>
      </c>
      <c r="P5" t="str">
        <f>TEXT(AVERAGE(H5,H8,H11,H14,H17),"0.0000") &amp; " ± " &amp; TEXT(_xlfn.STDEV.S(H5,H8,H11,H14,H17),"0.0000")</f>
        <v>0.4386 ± 0.6264</v>
      </c>
    </row>
    <row r="6" spans="1:16" x14ac:dyDescent="0.3">
      <c r="A6" s="11">
        <v>45954.918055555558</v>
      </c>
      <c r="B6" s="12" t="s">
        <v>52</v>
      </c>
      <c r="C6" s="12">
        <v>42</v>
      </c>
      <c r="D6" s="27">
        <v>14965.8567</v>
      </c>
      <c r="E6" s="27">
        <v>102.24748</v>
      </c>
      <c r="F6" s="27">
        <v>122.3350183</v>
      </c>
      <c r="G6" s="27">
        <v>1.4162727999999999E-2</v>
      </c>
      <c r="H6" s="27">
        <v>0.86547945999999998</v>
      </c>
      <c r="I6">
        <f t="shared" si="0"/>
        <v>1</v>
      </c>
      <c r="K6" s="6" t="s">
        <v>75</v>
      </c>
      <c r="L6" s="6" t="str">
        <f>TEXT(AVERAGE(D6,D9,D12,D15,D18),"0.0000") &amp; " ± " &amp; TEXT(_xlfn.STDEV.S(D6,D9,D12,D15,D18),"0.0000")</f>
        <v>13333.8715 ± 6841.8357</v>
      </c>
      <c r="M6" s="6" t="str">
        <f t="shared" ref="M6:M7" si="2">TEXT(AVERAGE(E6,E9,E12,E15,E18),"0.0000") &amp; " ± " &amp; TEXT(_xlfn.STDEV.S(E6,E9,E12,E15,E18),"0.0000")</f>
        <v>93.0179 ± 29.1845</v>
      </c>
      <c r="N6" s="6" t="str">
        <f t="shared" ref="N6:N7" si="3">TEXT(AVERAGE(F6,F9,F12,F15,F18),"0.0000") &amp; " ± " &amp; TEXT(_xlfn.STDEV.S(F6,F9,F12,F15,F18),"0.0000")</f>
        <v>112.7717 ± 27.7582</v>
      </c>
      <c r="O6" s="6" t="str">
        <f t="shared" ref="O6:P7" si="4">TEXT(AVERAGE(G6,G9,G12,G15,G18),"0.0000") &amp; " ± " &amp; TEXT(_xlfn.STDEV.S(G6,G9,G12,G15,G18),"0.0000")</f>
        <v>0.0129 ± 0.0041</v>
      </c>
      <c r="P6" s="6" t="str">
        <f t="shared" si="4"/>
        <v>0.8798 ± 0.0627</v>
      </c>
    </row>
    <row r="7" spans="1:16" x14ac:dyDescent="0.3">
      <c r="A7" s="11">
        <v>45977.968657407408</v>
      </c>
      <c r="B7" s="12" t="s">
        <v>32</v>
      </c>
      <c r="C7" s="12">
        <v>42</v>
      </c>
      <c r="D7" s="27">
        <v>50074.421433420699</v>
      </c>
      <c r="E7" s="27">
        <v>204.50469817397399</v>
      </c>
      <c r="F7" s="27">
        <v>223.773147257262</v>
      </c>
      <c r="G7" s="27">
        <v>2.8390745102540801E-2</v>
      </c>
      <c r="H7" s="27">
        <v>0.54990627422048199</v>
      </c>
      <c r="I7">
        <f t="shared" si="0"/>
        <v>1</v>
      </c>
      <c r="K7" t="s">
        <v>74</v>
      </c>
      <c r="L7" t="str">
        <f t="shared" ref="L7" si="5">TEXT(AVERAGE(D7,D10,D13,D16,D19),"0.0000") &amp; " ± " &amp; TEXT(_xlfn.STDEV.S(D7,D10,D13,D16,D19),"0.0000")</f>
        <v>29966.5474 ± 13416.0161</v>
      </c>
      <c r="M7" t="str">
        <f t="shared" si="2"/>
        <v>149.7174 ± 36.5086</v>
      </c>
      <c r="N7" t="str">
        <f t="shared" si="3"/>
        <v>169.7465 ± 37.9586</v>
      </c>
      <c r="O7" t="str">
        <f t="shared" si="4"/>
        <v>0.0208 ± 0.0050</v>
      </c>
      <c r="P7" t="str">
        <f t="shared" ref="P7" si="6">TEXT(AVERAGE(H7,H10,H13,H16,H19),"0.0000") &amp; " ± " &amp; TEXT(_xlfn.STDEV.S(H7,H10,H13,H16,H19),"0.0000")</f>
        <v>0.7295 ± 0.1210</v>
      </c>
    </row>
    <row r="8" spans="1:16" x14ac:dyDescent="0.3">
      <c r="A8" s="13">
        <v>45977.888148148151</v>
      </c>
      <c r="B8" s="14" t="s">
        <v>16</v>
      </c>
      <c r="C8" s="14">
        <v>73</v>
      </c>
      <c r="D8" s="28">
        <v>20374.770961021699</v>
      </c>
      <c r="E8" s="28">
        <v>125.12653360413699</v>
      </c>
      <c r="F8" s="28">
        <v>142.74022194539799</v>
      </c>
      <c r="G8" s="28">
        <v>1.7434320630286299E-2</v>
      </c>
      <c r="H8" s="28">
        <v>0.82016108467843696</v>
      </c>
      <c r="I8">
        <f t="shared" si="0"/>
        <v>1</v>
      </c>
    </row>
    <row r="9" spans="1:16" x14ac:dyDescent="0.3">
      <c r="A9" s="13">
        <v>45955.637499999997</v>
      </c>
      <c r="B9" s="14" t="s">
        <v>56</v>
      </c>
      <c r="C9" s="14">
        <v>73</v>
      </c>
      <c r="D9" s="28">
        <v>24530.232830000001</v>
      </c>
      <c r="E9" s="28">
        <v>139.78241600000001</v>
      </c>
      <c r="F9" s="28">
        <v>156.62130389999999</v>
      </c>
      <c r="G9" s="28">
        <v>1.95339E-2</v>
      </c>
      <c r="H9" s="28">
        <v>0.77694780200000002</v>
      </c>
      <c r="I9">
        <f t="shared" si="0"/>
        <v>1</v>
      </c>
      <c r="L9" s="35" t="s">
        <v>82</v>
      </c>
    </row>
    <row r="10" spans="1:16" x14ac:dyDescent="0.3">
      <c r="A10" s="13">
        <v>45978.26939814815</v>
      </c>
      <c r="B10" s="14" t="s">
        <v>36</v>
      </c>
      <c r="C10" s="14">
        <v>73</v>
      </c>
      <c r="D10" s="28">
        <v>16872.7577429015</v>
      </c>
      <c r="E10" s="28">
        <v>110.446022460036</v>
      </c>
      <c r="F10" s="28">
        <v>129.89517982935899</v>
      </c>
      <c r="G10" s="28">
        <v>1.53741164601257E-2</v>
      </c>
      <c r="H10" s="28">
        <v>0.84867456347534198</v>
      </c>
      <c r="I10">
        <f t="shared" si="0"/>
        <v>1</v>
      </c>
      <c r="K10" t="s">
        <v>73</v>
      </c>
      <c r="L10" s="3">
        <f>_xlfn.STDEV.S(D5,D8,D11,D14,D17)/AVERAGE(D5,D8,D11,D14,D17)</f>
        <v>1.1158400597133251</v>
      </c>
      <c r="M10" s="3">
        <f t="shared" ref="M10:O10" si="7">_xlfn.STDEV.S(E5,E8,E11,E14,E17)/AVERAGE(E5,E8,E11,E14,E17)</f>
        <v>0.52383809199105824</v>
      </c>
      <c r="N10" s="3">
        <f t="shared" si="7"/>
        <v>0.51277622330173145</v>
      </c>
      <c r="O10" s="3">
        <f t="shared" si="7"/>
        <v>0.52340926180663738</v>
      </c>
      <c r="P10" s="3">
        <f>_xlfn.STDEV.S(H5,H8,H11,H14,H17)/ABS(AVERAGE(H5,H8,H11,H14,H17))</f>
        <v>1.4282601552400107</v>
      </c>
    </row>
    <row r="11" spans="1:16" x14ac:dyDescent="0.3">
      <c r="A11" s="11">
        <v>45977.890428240738</v>
      </c>
      <c r="B11" s="12" t="s">
        <v>20</v>
      </c>
      <c r="C11" s="12">
        <v>1234</v>
      </c>
      <c r="D11" s="27">
        <v>30487.548864961998</v>
      </c>
      <c r="E11" s="27">
        <v>151.76884283138199</v>
      </c>
      <c r="F11" s="27">
        <v>174.60684083094199</v>
      </c>
      <c r="G11" s="27">
        <v>2.1111458060160501E-2</v>
      </c>
      <c r="H11" s="27">
        <v>0.730900154451946</v>
      </c>
      <c r="I11">
        <f t="shared" si="0"/>
        <v>1</v>
      </c>
      <c r="K11" t="s">
        <v>75</v>
      </c>
      <c r="L11" s="3">
        <f>_xlfn.STDEV.S(D6,D9,D12,D15,D18)/AVERAGE(D6,D9,D12,D15,D18)</f>
        <v>0.51311696597639722</v>
      </c>
      <c r="M11" s="3">
        <f>_xlfn.STDEV.S(E6,E9,E12,E15,E18)/AVERAGE(E6,E9,E12,E15,E18)</f>
        <v>0.31375187655333231</v>
      </c>
      <c r="N11" s="3">
        <f t="shared" ref="N11:N12" si="8">_xlfn.STDEV.S(F6,F9,F12,F15,F18)/AVERAGE(F6,F9,F12,F15,F18)</f>
        <v>0.24614469387729798</v>
      </c>
      <c r="O11" s="3">
        <f t="shared" ref="O11:O12" si="9">_xlfn.STDEV.S(G6,G9,G12,G15,G18)/AVERAGE(G6,G9,G12,G15,G18)</f>
        <v>0.31558050802141319</v>
      </c>
      <c r="P11" s="3">
        <f t="shared" ref="P11:P12" si="10">_xlfn.STDEV.S(H6,H9,H12,H15,H18)/ABS(AVERAGE(H6,H9,H12,H15,H18))</f>
        <v>7.1289469663960686E-2</v>
      </c>
    </row>
    <row r="12" spans="1:16" x14ac:dyDescent="0.3">
      <c r="A12" s="11">
        <v>45956.913888888892</v>
      </c>
      <c r="B12" s="12" t="s">
        <v>60</v>
      </c>
      <c r="C12" s="12">
        <v>1234</v>
      </c>
      <c r="D12" s="27">
        <v>8551.8931630000006</v>
      </c>
      <c r="E12" s="27">
        <v>73.872558589999997</v>
      </c>
      <c r="F12" s="27">
        <v>92.476446530000004</v>
      </c>
      <c r="G12" s="27">
        <v>1.0298032E-2</v>
      </c>
      <c r="H12" s="27">
        <v>0.92413164800000003</v>
      </c>
      <c r="I12">
        <f t="shared" si="0"/>
        <v>1</v>
      </c>
      <c r="K12" t="s">
        <v>74</v>
      </c>
      <c r="L12" s="3">
        <f>_xlfn.STDEV.S(D7,D10,D13,D16,D19)/AVERAGE(D7,D10,D13,D16,D19)</f>
        <v>0.44769976067556866</v>
      </c>
      <c r="M12" s="3">
        <f t="shared" ref="M12" si="11">_xlfn.STDEV.S(E7,E10,E13,E16,E19)/AVERAGE(E7,E10,E13,E16,E19)</f>
        <v>0.24385007342602832</v>
      </c>
      <c r="N12" s="3">
        <f t="shared" si="8"/>
        <v>0.22361919897552865</v>
      </c>
      <c r="O12" s="3">
        <f t="shared" si="9"/>
        <v>0.24229120996997452</v>
      </c>
      <c r="P12" s="3">
        <f t="shared" si="10"/>
        <v>0.16591586655654952</v>
      </c>
    </row>
    <row r="13" spans="1:16" x14ac:dyDescent="0.3">
      <c r="A13" s="11">
        <v>45978.816018518519</v>
      </c>
      <c r="B13" s="12" t="s">
        <v>40</v>
      </c>
      <c r="C13" s="12">
        <v>1234</v>
      </c>
      <c r="D13" s="27">
        <v>35533.707274084598</v>
      </c>
      <c r="E13" s="27">
        <v>159.823855805177</v>
      </c>
      <c r="F13" s="27">
        <v>188.50386540886799</v>
      </c>
      <c r="G13" s="27">
        <v>2.2179395774142401E-2</v>
      </c>
      <c r="H13" s="27">
        <v>0.67689375103583005</v>
      </c>
      <c r="I13">
        <f t="shared" si="0"/>
        <v>1</v>
      </c>
    </row>
    <row r="14" spans="1:16" x14ac:dyDescent="0.3">
      <c r="A14" s="13">
        <v>45977.896284722221</v>
      </c>
      <c r="B14" s="14" t="s">
        <v>24</v>
      </c>
      <c r="C14" s="14">
        <v>31415</v>
      </c>
      <c r="D14" s="28">
        <v>40609.239068207702</v>
      </c>
      <c r="E14" s="28">
        <v>173.54839897482299</v>
      </c>
      <c r="F14" s="28">
        <v>201.517341854758</v>
      </c>
      <c r="G14" s="28">
        <v>2.4061664831156099E-2</v>
      </c>
      <c r="H14" s="28">
        <v>0.64156055937846401</v>
      </c>
      <c r="I14">
        <f t="shared" si="0"/>
        <v>1</v>
      </c>
      <c r="L14" s="3"/>
    </row>
    <row r="15" spans="1:16" x14ac:dyDescent="0.3">
      <c r="A15" s="13">
        <v>45957.635416666664</v>
      </c>
      <c r="B15" s="14" t="s">
        <v>64</v>
      </c>
      <c r="C15" s="14">
        <v>31415</v>
      </c>
      <c r="D15" s="28">
        <v>10721.65209</v>
      </c>
      <c r="E15" s="28">
        <v>81.278615560000006</v>
      </c>
      <c r="F15" s="28">
        <v>103.5454108</v>
      </c>
      <c r="G15" s="28">
        <v>1.1268525E-2</v>
      </c>
      <c r="H15" s="28">
        <v>0.90362847499999999</v>
      </c>
      <c r="I15">
        <f t="shared" si="0"/>
        <v>1</v>
      </c>
    </row>
    <row r="16" spans="1:16" x14ac:dyDescent="0.3">
      <c r="A16" s="13">
        <v>45979.199074074073</v>
      </c>
      <c r="B16" s="14" t="s">
        <v>44</v>
      </c>
      <c r="C16" s="14">
        <v>31415</v>
      </c>
      <c r="D16" s="28">
        <v>19549.976775527299</v>
      </c>
      <c r="E16" s="28">
        <v>123.541605827281</v>
      </c>
      <c r="F16" s="28">
        <v>139.821231490526</v>
      </c>
      <c r="G16" s="28">
        <v>1.7207628238435101E-2</v>
      </c>
      <c r="H16" s="28">
        <v>0.82466358999030698</v>
      </c>
      <c r="I16">
        <f t="shared" si="0"/>
        <v>1</v>
      </c>
    </row>
    <row r="17" spans="1:16" x14ac:dyDescent="0.3">
      <c r="A17" s="11">
        <v>45977.8984375</v>
      </c>
      <c r="B17" s="12" t="s">
        <v>28</v>
      </c>
      <c r="C17" s="12">
        <v>271828183</v>
      </c>
      <c r="D17" s="27">
        <v>189822.415139497</v>
      </c>
      <c r="E17" s="27">
        <v>388.73378285911002</v>
      </c>
      <c r="F17" s="27">
        <v>435.68614292802198</v>
      </c>
      <c r="G17" s="27">
        <v>5.4069718064340903E-2</v>
      </c>
      <c r="H17" s="27">
        <v>-0.67547685849886796</v>
      </c>
      <c r="I17">
        <f t="shared" si="0"/>
        <v>1</v>
      </c>
    </row>
    <row r="18" spans="1:16" x14ac:dyDescent="0.3">
      <c r="A18" s="36">
        <v>45958.524305555555</v>
      </c>
      <c r="B18" s="37" t="s">
        <v>68</v>
      </c>
      <c r="C18" s="37">
        <v>271828183</v>
      </c>
      <c r="D18" s="38">
        <v>7899.7227419999999</v>
      </c>
      <c r="E18" s="38">
        <v>67.908365619999998</v>
      </c>
      <c r="F18" s="38">
        <v>88.880384460000002</v>
      </c>
      <c r="G18" s="38">
        <v>9.471897E-3</v>
      </c>
      <c r="H18" s="38">
        <v>0.92899337500000001</v>
      </c>
      <c r="I18">
        <f t="shared" si="0"/>
        <v>1</v>
      </c>
    </row>
    <row r="19" spans="1:16" x14ac:dyDescent="0.3">
      <c r="A19" s="11">
        <v>45979.846412037034</v>
      </c>
      <c r="B19" s="12" t="s">
        <v>48</v>
      </c>
      <c r="C19" s="12">
        <v>271828183</v>
      </c>
      <c r="D19" s="27">
        <v>27801.8736572499</v>
      </c>
      <c r="E19" s="27">
        <v>150.27057849123099</v>
      </c>
      <c r="F19" s="27">
        <v>166.73893863537</v>
      </c>
      <c r="G19" s="27">
        <v>2.1008284044185799E-2</v>
      </c>
      <c r="H19" s="27">
        <v>0.74719893305021901</v>
      </c>
      <c r="I19">
        <f t="shared" si="0"/>
        <v>1</v>
      </c>
    </row>
    <row r="20" spans="1:16" x14ac:dyDescent="0.3">
      <c r="A20" s="9"/>
    </row>
    <row r="21" spans="1:16" x14ac:dyDescent="0.3">
      <c r="A21" s="9"/>
    </row>
    <row r="22" spans="1:16" ht="15" thickBot="1" x14ac:dyDescent="0.3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10" t="s">
        <v>72</v>
      </c>
      <c r="L22" t="s">
        <v>77</v>
      </c>
      <c r="M22" t="s">
        <v>78</v>
      </c>
      <c r="N22" t="s">
        <v>79</v>
      </c>
      <c r="O22" t="s">
        <v>80</v>
      </c>
      <c r="P22" t="s">
        <v>81</v>
      </c>
    </row>
    <row r="23" spans="1:16" x14ac:dyDescent="0.3">
      <c r="A23" s="15">
        <v>45977.884780092594</v>
      </c>
      <c r="B23" s="16" t="s">
        <v>13</v>
      </c>
      <c r="C23" s="16">
        <v>42</v>
      </c>
      <c r="D23" s="29">
        <v>332647.46408268099</v>
      </c>
      <c r="E23" s="29">
        <v>528.90481884159306</v>
      </c>
      <c r="F23" s="29">
        <v>576.75598313557305</v>
      </c>
      <c r="G23" s="29">
        <v>7.3539461510102405E-2</v>
      </c>
      <c r="H23" s="29">
        <v>-1.93612915892617</v>
      </c>
      <c r="I23">
        <f t="shared" ref="I23:I37" si="12">IF(ISNUMBER(SEARCH("gru",B23)),1,IF(ISNUMBER(SEARCH("lstm",B23)),2,IF(ISNUMBER(SEARCH("tcn",B23)),3,IF(ISNUMBER(SEARCH("transformer",B23)),4,""))))</f>
        <v>2</v>
      </c>
      <c r="K23" t="s">
        <v>73</v>
      </c>
      <c r="L23" t="str">
        <f>TEXT(AVERAGE(D23,D26,D29,D32,D35),"0.0000") &amp; " ± " &amp; TEXT(_xlfn.STDEV.S(D23,D26,D29,D32,D35),"0.0000")</f>
        <v>178219.7244 ± 121548.6521</v>
      </c>
      <c r="M23" t="str">
        <f t="shared" ref="M23:M25" si="13">TEXT(AVERAGE(E23,E26,E29,E32,E35),"0.0000") &amp; " ± " &amp; TEXT(_xlfn.STDEV.S(E23,E26,E29,E32,E35),"0.0000")</f>
        <v>361.0129 ± 136.9243</v>
      </c>
      <c r="N23" t="str">
        <f t="shared" ref="N23:N25" si="14">TEXT(AVERAGE(F23,F26,F29,F32,F35),"0.0000") &amp; " ± " &amp; TEXT(_xlfn.STDEV.S(F23,F26,F29,F32,F35),"0.0000")</f>
        <v>401.8082 ± 144.7839</v>
      </c>
      <c r="O23" t="str">
        <f t="shared" ref="O23:O25" si="15">TEXT(AVERAGE(G23,G26,G29,G32,G35),"0.0000") &amp; " ± " &amp; TEXT(_xlfn.STDEV.S(G23,G26,G29,G32,G35),"0.0000")</f>
        <v>0.0501 ± 0.0191</v>
      </c>
      <c r="P23" t="str">
        <f>TEXT(AVERAGE(H23,H26,H29,H32,H35),"0.0000") &amp; " ± " &amp; TEXT(_xlfn.STDEV.S(H23,H26,H29,H32,H35),"0.0000")</f>
        <v>-0.5731 ± 1.0729</v>
      </c>
    </row>
    <row r="24" spans="1:16" x14ac:dyDescent="0.3">
      <c r="A24" s="15">
        <v>45954.913194444445</v>
      </c>
      <c r="B24" s="16" t="s">
        <v>53</v>
      </c>
      <c r="C24" s="16">
        <v>42</v>
      </c>
      <c r="D24" s="29">
        <v>15275.02205</v>
      </c>
      <c r="E24" s="29">
        <v>104.1174554</v>
      </c>
      <c r="F24" s="29">
        <v>123.5921602</v>
      </c>
      <c r="G24" s="29">
        <v>1.4509317000000001E-2</v>
      </c>
      <c r="H24" s="29">
        <v>0.86448722700000002</v>
      </c>
      <c r="I24">
        <f t="shared" si="12"/>
        <v>2</v>
      </c>
      <c r="K24" s="6" t="s">
        <v>75</v>
      </c>
      <c r="L24" s="6" t="str">
        <f>TEXT(AVERAGE(D24,D27,D30,D33,D36),"0.0000") &amp; " ± " &amp; TEXT(_xlfn.STDEV.S(D24,D27,D30,D33,D36),"0.0000")</f>
        <v>26126.1217 ± 13049.8582</v>
      </c>
      <c r="M24" s="6" t="str">
        <f t="shared" si="13"/>
        <v>135.8938 ± 38.2949</v>
      </c>
      <c r="N24" s="6" t="str">
        <f t="shared" si="14"/>
        <v>157.6927 ± 39.6728</v>
      </c>
      <c r="O24" s="6" t="str">
        <f t="shared" si="15"/>
        <v>0.0189 ± 0.0053</v>
      </c>
      <c r="P24" s="6" t="str">
        <f>TEXT(AVERAGE(H24,H27,H30,H33,H36),"0.0000") &amp; " ± " &amp; TEXT(_xlfn.STDEV.S(H24,H27,H30,H33,H36),"0.0000")</f>
        <v>0.7672 ± 0.1161</v>
      </c>
    </row>
    <row r="25" spans="1:16" x14ac:dyDescent="0.3">
      <c r="A25" s="15">
        <v>45978.030312499999</v>
      </c>
      <c r="B25" s="16" t="s">
        <v>33</v>
      </c>
      <c r="C25" s="16">
        <v>42</v>
      </c>
      <c r="D25" s="29">
        <v>22822.023026275099</v>
      </c>
      <c r="E25" s="29">
        <v>127.79471957616001</v>
      </c>
      <c r="F25" s="29">
        <v>151.06959663107301</v>
      </c>
      <c r="G25" s="29">
        <v>1.7766227043634099E-2</v>
      </c>
      <c r="H25" s="29">
        <v>0.79753380324157097</v>
      </c>
      <c r="I25">
        <f t="shared" si="12"/>
        <v>2</v>
      </c>
      <c r="K25" t="s">
        <v>74</v>
      </c>
      <c r="L25" t="str">
        <f>TEXT(AVERAGE(D25,D28,D31,D34,D37),"0.0000") &amp; " ± " &amp; TEXT(_xlfn.STDEV.S(D25,D28,D31,D34,D37),"0.0000")</f>
        <v>85333.0971 ± 152016.6856</v>
      </c>
      <c r="M25" t="str">
        <f t="shared" si="13"/>
        <v>194.6876 ± 203.1222</v>
      </c>
      <c r="N25" t="str">
        <f t="shared" si="14"/>
        <v>223.0055 ± 210.9550</v>
      </c>
      <c r="O25" t="str">
        <f t="shared" si="15"/>
        <v>0.0271 ± 0.0281</v>
      </c>
      <c r="P25" t="str">
        <f t="shared" ref="P25" si="16">TEXT(AVERAGE(H25,H28,H31,H34,H37),"0.0000") &amp; " ± " &amp; TEXT(_xlfn.STDEV.S(H25,H28,H31,H34,H37),"0.0000")</f>
        <v>0.2333 ± 1.3665</v>
      </c>
    </row>
    <row r="26" spans="1:16" x14ac:dyDescent="0.3">
      <c r="A26" s="17">
        <v>45977.888506944444</v>
      </c>
      <c r="B26" s="18" t="s">
        <v>17</v>
      </c>
      <c r="C26" s="18">
        <v>73</v>
      </c>
      <c r="D26" s="30">
        <v>101264.79475003701</v>
      </c>
      <c r="E26" s="30">
        <v>291.621277360519</v>
      </c>
      <c r="F26" s="30">
        <v>318.22129839160198</v>
      </c>
      <c r="G26" s="30">
        <v>4.0634325591755602E-2</v>
      </c>
      <c r="H26" s="30">
        <v>0.106181321844208</v>
      </c>
      <c r="I26">
        <f t="shared" si="12"/>
        <v>2</v>
      </c>
    </row>
    <row r="27" spans="1:16" x14ac:dyDescent="0.3">
      <c r="A27" s="17">
        <v>45955.606944444444</v>
      </c>
      <c r="B27" s="18" t="s">
        <v>57</v>
      </c>
      <c r="C27" s="18">
        <v>73</v>
      </c>
      <c r="D27" s="30">
        <v>43413.540950000002</v>
      </c>
      <c r="E27" s="30">
        <v>185.71149199999999</v>
      </c>
      <c r="F27" s="30">
        <v>208.3591634</v>
      </c>
      <c r="G27" s="30">
        <v>2.5839291E-2</v>
      </c>
      <c r="H27" s="30">
        <v>0.61485559300000003</v>
      </c>
      <c r="I27">
        <f t="shared" si="12"/>
        <v>2</v>
      </c>
      <c r="L27" s="35" t="s">
        <v>76</v>
      </c>
    </row>
    <row r="28" spans="1:16" x14ac:dyDescent="0.3">
      <c r="A28" s="17">
        <v>45978.351261574076</v>
      </c>
      <c r="B28" s="18" t="s">
        <v>37</v>
      </c>
      <c r="C28" s="18">
        <v>73</v>
      </c>
      <c r="D28" s="30">
        <v>13549.638729251999</v>
      </c>
      <c r="E28" s="30">
        <v>88.576440794402899</v>
      </c>
      <c r="F28" s="30">
        <v>116.40291546714801</v>
      </c>
      <c r="G28" s="30">
        <v>1.25471297679085E-2</v>
      </c>
      <c r="H28" s="30">
        <v>0.87679380282897701</v>
      </c>
      <c r="I28">
        <f t="shared" si="12"/>
        <v>2</v>
      </c>
      <c r="K28" t="s">
        <v>73</v>
      </c>
      <c r="L28" s="3">
        <f>_xlfn.STDEV.S(D23,D26,D29,D32,D35)/AVERAGE(D23,D26,D29,D32,D35)</f>
        <v>0.68201571088705659</v>
      </c>
      <c r="M28" s="3">
        <f t="shared" ref="M28:M30" si="17">_xlfn.STDEV.S(E23,E26,E29,E32,E35)/AVERAGE(E23,E26,E29,E32,E35)</f>
        <v>0.37927810871587031</v>
      </c>
      <c r="N28" s="3">
        <f t="shared" ref="N28:N30" si="18">_xlfn.STDEV.S(F23,F26,F29,F32,F35)/AVERAGE(F23,F26,F29,F32,F35)</f>
        <v>0.36033100430511539</v>
      </c>
      <c r="O28" s="3">
        <f t="shared" ref="O28:O30" si="19">_xlfn.STDEV.S(G23,G26,G29,G32,G35)/AVERAGE(G23,G26,G29,G32,G35)</f>
        <v>0.380224982435174</v>
      </c>
      <c r="P28" s="3">
        <f>_xlfn.STDEV.S(H23,H26,H29,H32,H35)/ABS(AVERAGE(H23,H26,H29,H32,H35))</f>
        <v>1.8721347102457473</v>
      </c>
    </row>
    <row r="29" spans="1:16" x14ac:dyDescent="0.3">
      <c r="A29" s="15">
        <v>45977.891597222224</v>
      </c>
      <c r="B29" s="16" t="s">
        <v>21</v>
      </c>
      <c r="C29" s="16">
        <v>1234</v>
      </c>
      <c r="D29" s="29">
        <v>59127.989590742298</v>
      </c>
      <c r="E29" s="29">
        <v>210.77625645268401</v>
      </c>
      <c r="F29" s="29">
        <v>243.16247570450099</v>
      </c>
      <c r="G29" s="29">
        <v>2.9205131326267699E-2</v>
      </c>
      <c r="H29" s="29">
        <v>0.47810389949970999</v>
      </c>
      <c r="I29">
        <f t="shared" si="12"/>
        <v>2</v>
      </c>
      <c r="K29" t="s">
        <v>75</v>
      </c>
      <c r="L29" s="3">
        <f>_xlfn.STDEV.S(D24,D27,D30,D33,D36)/AVERAGE(D24,D27,D30,D33,D36)</f>
        <v>0.49949465898247025</v>
      </c>
      <c r="M29" s="3">
        <f t="shared" si="17"/>
        <v>0.28180044044572106</v>
      </c>
      <c r="N29" s="3">
        <f t="shared" si="18"/>
        <v>0.2515827746057307</v>
      </c>
      <c r="O29" s="3">
        <f t="shared" si="19"/>
        <v>0.28158509170331197</v>
      </c>
      <c r="P29" s="3">
        <f t="shared" ref="P29:P30" si="20">_xlfn.STDEV.S(H24,H27,H30,H33,H36)/ABS(AVERAGE(H24,H27,H30,H33,H36))</f>
        <v>0.15136418707542643</v>
      </c>
    </row>
    <row r="30" spans="1:16" x14ac:dyDescent="0.3">
      <c r="A30" s="15">
        <v>45956.974999999999</v>
      </c>
      <c r="B30" s="16" t="s">
        <v>61</v>
      </c>
      <c r="C30" s="16">
        <v>1234</v>
      </c>
      <c r="D30" s="29">
        <v>15130.404070000001</v>
      </c>
      <c r="E30" s="29">
        <v>101.45408020000001</v>
      </c>
      <c r="F30" s="29">
        <v>123.0057075</v>
      </c>
      <c r="G30" s="29">
        <v>1.4068651E-2</v>
      </c>
      <c r="H30" s="29">
        <v>0.86400042700000002</v>
      </c>
      <c r="I30">
        <f t="shared" si="12"/>
        <v>2</v>
      </c>
      <c r="K30" t="s">
        <v>74</v>
      </c>
      <c r="L30" s="3">
        <f t="shared" ref="L30" si="21">_xlfn.STDEV.S(D25,D28,D31,D34,D37)/AVERAGE(D25,D28,D31,D34,D37)</f>
        <v>1.7814504665592055</v>
      </c>
      <c r="M30" s="3">
        <f t="shared" si="17"/>
        <v>1.0433238702406777</v>
      </c>
      <c r="N30" s="3">
        <f t="shared" si="18"/>
        <v>0.94596326332986258</v>
      </c>
      <c r="O30" s="3">
        <f t="shared" si="19"/>
        <v>1.0374191741284604</v>
      </c>
      <c r="P30" s="3">
        <f t="shared" si="20"/>
        <v>5.8581721965262634</v>
      </c>
    </row>
    <row r="31" spans="1:16" x14ac:dyDescent="0.3">
      <c r="A31" s="15">
        <v>45978.910381944443</v>
      </c>
      <c r="B31" s="16" t="s">
        <v>41</v>
      </c>
      <c r="C31" s="16">
        <v>1234</v>
      </c>
      <c r="D31" s="29">
        <v>357016.56817048002</v>
      </c>
      <c r="E31" s="29">
        <v>555.52008132138599</v>
      </c>
      <c r="F31" s="29">
        <v>597.508634389897</v>
      </c>
      <c r="G31" s="29">
        <v>7.6978689637439604E-2</v>
      </c>
      <c r="H31" s="29">
        <v>-2.20904191667046</v>
      </c>
      <c r="I31">
        <f t="shared" si="12"/>
        <v>2</v>
      </c>
    </row>
    <row r="32" spans="1:16" x14ac:dyDescent="0.3">
      <c r="A32" s="17">
        <v>45977.897129629629</v>
      </c>
      <c r="B32" s="18" t="s">
        <v>25</v>
      </c>
      <c r="C32" s="18">
        <v>31415</v>
      </c>
      <c r="D32" s="30">
        <v>283520.022286386</v>
      </c>
      <c r="E32" s="30">
        <v>481.96209836047501</v>
      </c>
      <c r="F32" s="30">
        <v>532.46598228092103</v>
      </c>
      <c r="G32" s="30">
        <v>6.6898343315806894E-2</v>
      </c>
      <c r="H32" s="30">
        <v>-1.50250338408575</v>
      </c>
      <c r="I32">
        <f t="shared" si="12"/>
        <v>2</v>
      </c>
    </row>
    <row r="33" spans="1:16" x14ac:dyDescent="0.3">
      <c r="A33" s="17">
        <v>45957.652777777781</v>
      </c>
      <c r="B33" s="18" t="s">
        <v>65</v>
      </c>
      <c r="C33" s="18">
        <v>31415</v>
      </c>
      <c r="D33" s="30">
        <v>36569.585469999998</v>
      </c>
      <c r="E33" s="30">
        <v>167.0486406</v>
      </c>
      <c r="F33" s="30">
        <v>191.23175850000001</v>
      </c>
      <c r="G33" s="30">
        <v>2.3187266000000002E-2</v>
      </c>
      <c r="H33" s="30">
        <v>0.67202110199999998</v>
      </c>
      <c r="I33">
        <f t="shared" si="12"/>
        <v>2</v>
      </c>
    </row>
    <row r="34" spans="1:16" x14ac:dyDescent="0.3">
      <c r="A34" s="39">
        <v>45979.262083333335</v>
      </c>
      <c r="B34" s="40" t="s">
        <v>45</v>
      </c>
      <c r="C34" s="40">
        <v>31415</v>
      </c>
      <c r="D34" s="41">
        <v>8700.6525634769296</v>
      </c>
      <c r="E34" s="41">
        <v>73.751330827509094</v>
      </c>
      <c r="F34" s="41">
        <v>93.277288572711697</v>
      </c>
      <c r="G34" s="41">
        <v>1.0352175832634199E-2</v>
      </c>
      <c r="H34" s="41">
        <v>0.92196711010258803</v>
      </c>
      <c r="I34">
        <f t="shared" si="12"/>
        <v>2</v>
      </c>
    </row>
    <row r="35" spans="1:16" x14ac:dyDescent="0.3">
      <c r="A35" s="15">
        <v>45977.898784722223</v>
      </c>
      <c r="B35" s="16" t="s">
        <v>29</v>
      </c>
      <c r="C35" s="16">
        <v>271828183</v>
      </c>
      <c r="D35" s="29">
        <v>114538.351501492</v>
      </c>
      <c r="E35" s="29">
        <v>291.80016366267603</v>
      </c>
      <c r="F35" s="29">
        <v>338.43515110208699</v>
      </c>
      <c r="G35" s="29">
        <v>4.0345900305297701E-2</v>
      </c>
      <c r="H35" s="29">
        <v>-1.09783779240799E-2</v>
      </c>
      <c r="I35">
        <f t="shared" si="12"/>
        <v>2</v>
      </c>
    </row>
    <row r="36" spans="1:16" x14ac:dyDescent="0.3">
      <c r="A36" s="15">
        <v>45958.553472222222</v>
      </c>
      <c r="B36" s="16" t="s">
        <v>69</v>
      </c>
      <c r="C36" s="16">
        <v>271828183</v>
      </c>
      <c r="D36" s="29">
        <v>20242.05587</v>
      </c>
      <c r="E36" s="29">
        <v>121.1373912</v>
      </c>
      <c r="F36" s="29">
        <v>142.27457920000001</v>
      </c>
      <c r="G36" s="29">
        <v>1.6876726000000002E-2</v>
      </c>
      <c r="H36" s="29">
        <v>0.82042205199999996</v>
      </c>
      <c r="I36">
        <f t="shared" si="12"/>
        <v>2</v>
      </c>
    </row>
    <row r="37" spans="1:16" x14ac:dyDescent="0.3">
      <c r="A37" s="15">
        <v>45979.905092592591</v>
      </c>
      <c r="B37" s="16" t="s">
        <v>49</v>
      </c>
      <c r="C37" s="16">
        <v>271828183</v>
      </c>
      <c r="D37" s="29">
        <v>24576.603021536099</v>
      </c>
      <c r="E37" s="29">
        <v>127.795244616601</v>
      </c>
      <c r="F37" s="29">
        <v>156.769266827194</v>
      </c>
      <c r="G37" s="29">
        <v>1.7719861490154001E-2</v>
      </c>
      <c r="H37" s="29">
        <v>0.77909330743491001</v>
      </c>
      <c r="I37">
        <f t="shared" si="12"/>
        <v>2</v>
      </c>
    </row>
    <row r="38" spans="1:16" x14ac:dyDescent="0.3">
      <c r="A38" s="9"/>
    </row>
    <row r="39" spans="1:16" x14ac:dyDescent="0.3">
      <c r="A39" s="9"/>
    </row>
    <row r="40" spans="1:16" ht="15" thickBot="1" x14ac:dyDescent="0.3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10" t="s">
        <v>72</v>
      </c>
      <c r="L40" t="s">
        <v>77</v>
      </c>
      <c r="M40" t="s">
        <v>78</v>
      </c>
      <c r="N40" t="s">
        <v>79</v>
      </c>
      <c r="O40" t="s">
        <v>80</v>
      </c>
      <c r="P40" t="s">
        <v>81</v>
      </c>
    </row>
    <row r="41" spans="1:16" x14ac:dyDescent="0.3">
      <c r="A41" s="19">
        <v>45977.885914351849</v>
      </c>
      <c r="B41" s="20" t="s">
        <v>14</v>
      </c>
      <c r="C41" s="20">
        <v>42</v>
      </c>
      <c r="D41" s="31">
        <v>5700.4876235940701</v>
      </c>
      <c r="E41" s="31">
        <v>62.937167147359098</v>
      </c>
      <c r="F41" s="31">
        <v>75.501573649786096</v>
      </c>
      <c r="G41" s="31">
        <v>8.8996311056542994E-3</v>
      </c>
      <c r="H41" s="31">
        <v>0.94968436636699505</v>
      </c>
      <c r="I41">
        <f t="shared" ref="I41:I55" si="22">IF(ISNUMBER(SEARCH("gru",B41)),1,IF(ISNUMBER(SEARCH("lstm",B41)),2,IF(ISNUMBER(SEARCH("tcn",B41)),3,IF(ISNUMBER(SEARCH("transformer",B41)),4,""))))</f>
        <v>3</v>
      </c>
      <c r="K41" t="s">
        <v>73</v>
      </c>
      <c r="L41" t="str">
        <f>TEXT(AVERAGE(D41,D44,D47,D50,D53),"0.0000") &amp; " ± " &amp; TEXT(_xlfn.STDEV.S(D41,D44,D47,D50,D53),"0.0000")</f>
        <v>31855.0262 ± 59631.0970</v>
      </c>
      <c r="M41" t="str">
        <f t="shared" ref="M41:M43" si="23">TEXT(AVERAGE(E41,E44,E47,E50,E53),"0.0000") &amp; " ± " &amp; TEXT(_xlfn.STDEV.S(E41,E44,E47,E50,E53),"0.0000")</f>
        <v>111.2235 ± 121.8592</v>
      </c>
      <c r="N41" t="str">
        <f t="shared" ref="N41:N43" si="24">TEXT(AVERAGE(F41,F44,F47,F50,F53),"0.0000") &amp; " ± " &amp; TEXT(_xlfn.STDEV.S(F41,F44,F47,F50,F53),"0.0000")</f>
        <v>131.9247 ± 134.4010</v>
      </c>
      <c r="O41" t="str">
        <f t="shared" ref="O41:O43" si="25">TEXT(AVERAGE(G41,G44,G47,G50,G53),"0.0000") &amp; " ± " &amp; TEXT(_xlfn.STDEV.S(G41,G44,G47,G50,G53),"0.0000")</f>
        <v>0.0156 ± 0.0169</v>
      </c>
      <c r="P41" t="str">
        <f>TEXT(AVERAGE(H41,H44,H47,H50,H53),"0.0000") &amp; " ± " &amp; TEXT(_xlfn.STDEV.S(H41,H44,H47,H50,H53),"0.0000")</f>
        <v>0.7188 ± 0.5263</v>
      </c>
    </row>
    <row r="42" spans="1:16" x14ac:dyDescent="0.3">
      <c r="A42" s="19">
        <v>45955.015972222223</v>
      </c>
      <c r="B42" s="20" t="s">
        <v>54</v>
      </c>
      <c r="C42" s="20">
        <v>42</v>
      </c>
      <c r="D42" s="31">
        <v>6027.7382870000001</v>
      </c>
      <c r="E42" s="31">
        <v>64.953746519999996</v>
      </c>
      <c r="F42" s="31">
        <v>77.638510339999996</v>
      </c>
      <c r="G42" s="31">
        <v>9.1887429999999992E-3</v>
      </c>
      <c r="H42" s="31">
        <v>0.94652475599999997</v>
      </c>
      <c r="I42">
        <f t="shared" si="22"/>
        <v>3</v>
      </c>
      <c r="K42" s="6" t="s">
        <v>75</v>
      </c>
      <c r="L42" s="6" t="str">
        <f>TEXT(AVERAGE(D42,D45,D48,D51,D54),"0.0000") &amp; " ± " &amp; TEXT(_xlfn.STDEV.S(D42,D45,D48,D51,D54),"0.0000")</f>
        <v>5455.2901 ± 1843.2977</v>
      </c>
      <c r="M42" s="6" t="str">
        <f t="shared" si="23"/>
        <v>55.9411 ± 15.1640</v>
      </c>
      <c r="N42" s="6" t="str">
        <f t="shared" si="24"/>
        <v>72.9888 ± 12.6452</v>
      </c>
      <c r="O42" s="6" t="str">
        <f t="shared" si="25"/>
        <v>0.0080 ± 0.0021</v>
      </c>
      <c r="P42" s="6" t="str">
        <f t="shared" ref="P42:P43" si="26">TEXT(AVERAGE(H42,H45,H48,H51,H54),"0.0000") &amp; " ± " &amp; TEXT(_xlfn.STDEV.S(H42,H45,H48,H51,H54),"0.0000")</f>
        <v>0.9509 ± 0.0167</v>
      </c>
    </row>
    <row r="43" spans="1:16" x14ac:dyDescent="0.3">
      <c r="A43" s="19">
        <v>45978.118564814817</v>
      </c>
      <c r="B43" s="20" t="s">
        <v>34</v>
      </c>
      <c r="C43" s="20">
        <v>42</v>
      </c>
      <c r="D43" s="31">
        <v>232357.13836083701</v>
      </c>
      <c r="E43" s="31">
        <v>454.48676649694301</v>
      </c>
      <c r="F43" s="31">
        <v>482.03437466724</v>
      </c>
      <c r="G43" s="31">
        <v>6.3299504886331306E-2</v>
      </c>
      <c r="H43" s="31">
        <v>-1.0839240346982799</v>
      </c>
      <c r="I43">
        <f t="shared" si="22"/>
        <v>3</v>
      </c>
      <c r="K43" t="s">
        <v>74</v>
      </c>
      <c r="L43" t="str">
        <f t="shared" ref="L43" si="27">TEXT(AVERAGE(D43,D46,D49,D52,D55),"0.0000") &amp; " ± " &amp; TEXT(_xlfn.STDEV.S(D43,D46,D49,D52,D55),"0.0000")</f>
        <v>53951.1620 ± 100177.4817</v>
      </c>
      <c r="M43" t="str">
        <f t="shared" si="23"/>
        <v>148.0917 ± 177.0595</v>
      </c>
      <c r="N43" t="str">
        <f t="shared" si="24"/>
        <v>165.8069 ± 181.8627</v>
      </c>
      <c r="O43" t="str">
        <f t="shared" si="25"/>
        <v>0.0207 ± 0.0246</v>
      </c>
      <c r="P43" t="str">
        <f t="shared" si="26"/>
        <v>0.5164 ± 0.8986</v>
      </c>
    </row>
    <row r="44" spans="1:16" x14ac:dyDescent="0.3">
      <c r="A44" s="21">
        <v>45977.889317129629</v>
      </c>
      <c r="B44" s="22" t="s">
        <v>18</v>
      </c>
      <c r="C44" s="22">
        <v>73</v>
      </c>
      <c r="D44" s="32">
        <v>5247.5817832268503</v>
      </c>
      <c r="E44" s="32">
        <v>58.313030249251703</v>
      </c>
      <c r="F44" s="32">
        <v>72.440194527809297</v>
      </c>
      <c r="G44" s="32">
        <v>8.3039889606853004E-3</v>
      </c>
      <c r="H44" s="32">
        <v>0.95368196198317401</v>
      </c>
      <c r="I44">
        <f t="shared" si="22"/>
        <v>3</v>
      </c>
    </row>
    <row r="45" spans="1:16" x14ac:dyDescent="0.3">
      <c r="A45" s="21">
        <v>45955.682638888888</v>
      </c>
      <c r="B45" s="22" t="s">
        <v>58</v>
      </c>
      <c r="C45" s="22">
        <v>73</v>
      </c>
      <c r="D45" s="32">
        <v>7866.8563000000004</v>
      </c>
      <c r="E45" s="32">
        <v>75.0351</v>
      </c>
      <c r="F45" s="32">
        <v>88.695300000000003</v>
      </c>
      <c r="G45" s="32">
        <v>1.06E-2</v>
      </c>
      <c r="H45" s="32">
        <v>0.92849999999999999</v>
      </c>
      <c r="I45">
        <f t="shared" si="22"/>
        <v>3</v>
      </c>
      <c r="L45" s="35" t="s">
        <v>76</v>
      </c>
    </row>
    <row r="46" spans="1:16" x14ac:dyDescent="0.3">
      <c r="A46" s="21">
        <v>45978.67701388889</v>
      </c>
      <c r="B46" s="22" t="s">
        <v>38</v>
      </c>
      <c r="C46" s="22">
        <v>73</v>
      </c>
      <c r="D46" s="32">
        <v>3690.4821185483202</v>
      </c>
      <c r="E46" s="32">
        <v>44.586130735669599</v>
      </c>
      <c r="F46" s="32">
        <v>60.749338420663697</v>
      </c>
      <c r="G46" s="32">
        <v>6.3514632625359998E-3</v>
      </c>
      <c r="H46" s="32">
        <v>0.96725978771087795</v>
      </c>
      <c r="I46">
        <f t="shared" si="22"/>
        <v>3</v>
      </c>
      <c r="K46" t="s">
        <v>73</v>
      </c>
      <c r="L46" s="3">
        <f>_xlfn.STDEV.S(D41,D44,D47,D50,D53)/AVERAGE(D41,D44,D47,D50,D53)</f>
        <v>1.871952532147773</v>
      </c>
      <c r="M46" s="3">
        <f t="shared" ref="M46:M48" si="28">_xlfn.STDEV.S(E41,E44,E47,E50,E53)/AVERAGE(E41,E44,E47,E50,E53)</f>
        <v>1.0956251793355722</v>
      </c>
      <c r="N46" s="3">
        <f t="shared" ref="N46:N48" si="29">_xlfn.STDEV.S(F41,F44,F47,F50,F53)/AVERAGE(F41,F44,F47,F50,F53)</f>
        <v>1.0187710200772988</v>
      </c>
      <c r="O46" s="3">
        <f t="shared" ref="O46:O48" si="30">_xlfn.STDEV.S(G41,G44,G47,G50,G53)/AVERAGE(G41,G44,G47,G50,G53)</f>
        <v>1.0803503460391235</v>
      </c>
      <c r="P46" s="3">
        <f>_xlfn.STDEV.S(H41,H44,H47,H50,H53)/ABS(AVERAGE(H41,H44,H47,H50,H53))</f>
        <v>0.73221313460232207</v>
      </c>
    </row>
    <row r="47" spans="1:16" x14ac:dyDescent="0.3">
      <c r="A47" s="19">
        <v>45977.892754629633</v>
      </c>
      <c r="B47" s="20" t="s">
        <v>22</v>
      </c>
      <c r="C47" s="20">
        <v>1234</v>
      </c>
      <c r="D47" s="31">
        <v>5774.2719159811804</v>
      </c>
      <c r="E47" s="31">
        <v>63.098809570818602</v>
      </c>
      <c r="F47" s="31">
        <v>75.988630175712302</v>
      </c>
      <c r="G47" s="31">
        <v>8.9498855236468007E-3</v>
      </c>
      <c r="H47" s="31">
        <v>0.94903310569093402</v>
      </c>
      <c r="I47">
        <f t="shared" si="22"/>
        <v>3</v>
      </c>
      <c r="K47" t="s">
        <v>75</v>
      </c>
      <c r="L47" s="3">
        <f>_xlfn.STDEV.S(D42,D45,D48,D51,D54)/AVERAGE(D42,D45,D48,D51,D54)</f>
        <v>0.33789177810107596</v>
      </c>
      <c r="M47" s="3">
        <f t="shared" si="28"/>
        <v>0.27107072900268159</v>
      </c>
      <c r="N47" s="3">
        <f t="shared" si="29"/>
        <v>0.17324813806903439</v>
      </c>
      <c r="O47" s="3">
        <f t="shared" si="30"/>
        <v>0.2648427904618994</v>
      </c>
      <c r="P47" s="3">
        <f t="shared" ref="P47:P48" si="31">_xlfn.STDEV.S(H42,H45,H48,H51,H54)/ABS(AVERAGE(H42,H45,H48,H51,H54))</f>
        <v>1.7552478476526197E-2</v>
      </c>
    </row>
    <row r="48" spans="1:16" x14ac:dyDescent="0.3">
      <c r="A48" s="19">
        <v>45956.984722222223</v>
      </c>
      <c r="B48" s="20" t="s">
        <v>62</v>
      </c>
      <c r="C48" s="20">
        <v>1234</v>
      </c>
      <c r="D48" s="31">
        <v>3550.7193040000002</v>
      </c>
      <c r="E48" s="31">
        <v>41.386328149999997</v>
      </c>
      <c r="F48" s="31">
        <v>59.5879124</v>
      </c>
      <c r="G48" s="31">
        <v>5.9021200000000003E-3</v>
      </c>
      <c r="H48" s="31">
        <v>0.96771348400000001</v>
      </c>
      <c r="I48">
        <f t="shared" si="22"/>
        <v>3</v>
      </c>
      <c r="K48" t="s">
        <v>74</v>
      </c>
      <c r="L48" s="3">
        <f t="shared" ref="L48" si="32">_xlfn.STDEV.S(D43,D46,D49,D52,D55)/AVERAGE(D43,D46,D49,D52,D55)</f>
        <v>1.8568178712189396</v>
      </c>
      <c r="M48" s="3">
        <f t="shared" si="28"/>
        <v>1.1956073172457562</v>
      </c>
      <c r="N48" s="3">
        <f t="shared" si="29"/>
        <v>1.0968342649328349</v>
      </c>
      <c r="O48" s="3">
        <f t="shared" si="30"/>
        <v>1.1865706589333291</v>
      </c>
      <c r="P48" s="3">
        <f t="shared" si="31"/>
        <v>1.7402504046322669</v>
      </c>
    </row>
    <row r="49" spans="1:16" x14ac:dyDescent="0.3">
      <c r="A49" s="19">
        <v>45979.040891203702</v>
      </c>
      <c r="B49" s="20" t="s">
        <v>42</v>
      </c>
      <c r="C49" s="20">
        <v>1234</v>
      </c>
      <c r="D49" s="31">
        <v>4939.9207347274096</v>
      </c>
      <c r="E49" s="31">
        <v>56.476794797276703</v>
      </c>
      <c r="F49" s="31">
        <v>70.2845696773296</v>
      </c>
      <c r="G49" s="31">
        <v>8.0201153807644993E-3</v>
      </c>
      <c r="H49" s="31">
        <v>0.95617535911269202</v>
      </c>
      <c r="I49">
        <f t="shared" si="22"/>
        <v>3</v>
      </c>
    </row>
    <row r="50" spans="1:16" x14ac:dyDescent="0.3">
      <c r="A50" s="21">
        <v>45977.89739583333</v>
      </c>
      <c r="B50" s="22" t="s">
        <v>26</v>
      </c>
      <c r="C50" s="22">
        <v>31415</v>
      </c>
      <c r="D50" s="32">
        <v>138519.091835156</v>
      </c>
      <c r="E50" s="32">
        <v>328.71835249058</v>
      </c>
      <c r="F50" s="32">
        <v>372.18153075502897</v>
      </c>
      <c r="G50" s="32">
        <v>4.5675686639203801E-2</v>
      </c>
      <c r="H50" s="32">
        <v>-0.22264555879519601</v>
      </c>
      <c r="I50">
        <f t="shared" si="22"/>
        <v>3</v>
      </c>
    </row>
    <row r="51" spans="1:16" x14ac:dyDescent="0.3">
      <c r="A51" s="21">
        <v>45957.64166666667</v>
      </c>
      <c r="B51" s="22" t="s">
        <v>66</v>
      </c>
      <c r="C51" s="22">
        <v>31415</v>
      </c>
      <c r="D51" s="32">
        <v>3643.238257</v>
      </c>
      <c r="E51" s="32">
        <v>39.937209189999997</v>
      </c>
      <c r="F51" s="32">
        <v>60.359243339999999</v>
      </c>
      <c r="G51" s="32">
        <v>5.7458680000000003E-3</v>
      </c>
      <c r="H51" s="32">
        <v>0.96732516199999996</v>
      </c>
      <c r="I51">
        <f t="shared" si="22"/>
        <v>3</v>
      </c>
    </row>
    <row r="52" spans="1:16" x14ac:dyDescent="0.3">
      <c r="A52" s="21">
        <v>45979.726238425923</v>
      </c>
      <c r="B52" s="22" t="s">
        <v>46</v>
      </c>
      <c r="C52" s="22">
        <v>31415</v>
      </c>
      <c r="D52" s="32">
        <v>25655.3783007741</v>
      </c>
      <c r="E52" s="32">
        <v>148.24243768699799</v>
      </c>
      <c r="F52" s="32">
        <v>160.17296370103799</v>
      </c>
      <c r="G52" s="32">
        <v>2.07446296035966E-2</v>
      </c>
      <c r="H52" s="32">
        <v>0.76990653337607495</v>
      </c>
      <c r="I52">
        <f t="shared" si="22"/>
        <v>3</v>
      </c>
    </row>
    <row r="53" spans="1:16" x14ac:dyDescent="0.3">
      <c r="A53" s="19">
        <v>45977.899282407408</v>
      </c>
      <c r="B53" s="20" t="s">
        <v>30</v>
      </c>
      <c r="C53" s="20">
        <v>271828183</v>
      </c>
      <c r="D53" s="31">
        <v>4033.6980253252</v>
      </c>
      <c r="E53" s="31">
        <v>43.0500474833186</v>
      </c>
      <c r="F53" s="31">
        <v>63.511400750772303</v>
      </c>
      <c r="G53" s="31">
        <v>6.1635185284180001E-3</v>
      </c>
      <c r="H53" s="31">
        <v>0.96439636651636496</v>
      </c>
      <c r="I53">
        <f t="shared" si="22"/>
        <v>3</v>
      </c>
    </row>
    <row r="54" spans="1:16" x14ac:dyDescent="0.3">
      <c r="A54" s="19">
        <v>45958.545138888891</v>
      </c>
      <c r="B54" s="20" t="s">
        <v>70</v>
      </c>
      <c r="C54" s="20">
        <v>271828183</v>
      </c>
      <c r="D54" s="31">
        <v>6187.8986000000004</v>
      </c>
      <c r="E54" s="31">
        <v>58.393099999999997</v>
      </c>
      <c r="F54" s="31">
        <v>78.663200000000003</v>
      </c>
      <c r="G54" s="31">
        <v>8.3999999999999995E-3</v>
      </c>
      <c r="H54" s="31">
        <v>0.94450000000000001</v>
      </c>
      <c r="I54">
        <f t="shared" si="22"/>
        <v>3</v>
      </c>
    </row>
    <row r="55" spans="1:16" x14ac:dyDescent="0.3">
      <c r="A55" s="42">
        <v>45980.168912037036</v>
      </c>
      <c r="B55" s="43" t="s">
        <v>50</v>
      </c>
      <c r="C55" s="43">
        <v>271828183</v>
      </c>
      <c r="D55" s="44">
        <v>3112.8902865704799</v>
      </c>
      <c r="E55" s="44">
        <v>36.666303733705298</v>
      </c>
      <c r="F55" s="44">
        <v>55.793281733291799</v>
      </c>
      <c r="G55" s="44">
        <v>5.2393578050472997E-3</v>
      </c>
      <c r="H55" s="44">
        <v>0.97238390932641805</v>
      </c>
      <c r="I55">
        <f t="shared" si="22"/>
        <v>3</v>
      </c>
    </row>
    <row r="56" spans="1:16" x14ac:dyDescent="0.3">
      <c r="A56" s="9"/>
    </row>
    <row r="57" spans="1:16" x14ac:dyDescent="0.3">
      <c r="A57" s="9"/>
    </row>
    <row r="58" spans="1:16" ht="15" thickBot="1" x14ac:dyDescent="0.35">
      <c r="A58" s="2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10" t="s">
        <v>72</v>
      </c>
      <c r="L58" t="s">
        <v>77</v>
      </c>
      <c r="M58" t="s">
        <v>78</v>
      </c>
      <c r="N58" t="s">
        <v>79</v>
      </c>
      <c r="O58" t="s">
        <v>80</v>
      </c>
      <c r="P58" t="s">
        <v>81</v>
      </c>
    </row>
    <row r="59" spans="1:16" x14ac:dyDescent="0.3">
      <c r="A59" s="23">
        <v>45977.887175925927</v>
      </c>
      <c r="B59" s="24" t="s">
        <v>15</v>
      </c>
      <c r="C59" s="24">
        <v>42</v>
      </c>
      <c r="D59" s="33">
        <v>260397.06909306001</v>
      </c>
      <c r="E59" s="33">
        <v>470.48433028551898</v>
      </c>
      <c r="F59" s="33">
        <v>510.29116109634901</v>
      </c>
      <c r="G59" s="33">
        <v>6.5550933658919203E-2</v>
      </c>
      <c r="H59" s="33">
        <v>-1.2984075034854701</v>
      </c>
      <c r="I59">
        <f t="shared" ref="I59:I73" si="33">IF(ISNUMBER(SEARCH("gru",B59)),1,IF(ISNUMBER(SEARCH("lstm",B59)),2,IF(ISNUMBER(SEARCH("tcn",B59)),3,IF(ISNUMBER(SEARCH("transformer",B59)),4,""))))</f>
        <v>4</v>
      </c>
      <c r="K59" t="s">
        <v>73</v>
      </c>
      <c r="L59" t="str">
        <f>TEXT(AVERAGE(D59,D62,D65,D68,D71),"0.0000") &amp; " ± " &amp; TEXT(_xlfn.STDEV.S(D59,D62,D65,D68,D71),"0.0000")</f>
        <v>196754.7970 ± 47848.8877</v>
      </c>
      <c r="M59" t="str">
        <f t="shared" ref="M59:M61" si="34">TEXT(AVERAGE(E59,E62,E65,E68,E71),"0.0000") &amp; " ± " &amp; TEXT(_xlfn.STDEV.S(E59,E62,E65,E68,E71),"0.0000")</f>
        <v>387.6838 ± 61.3233</v>
      </c>
      <c r="N59" t="str">
        <f t="shared" ref="N59:N61" si="35">TEXT(AVERAGE(F59,F62,F65,F68,F71),"0.0000") &amp; " ± " &amp; TEXT(_xlfn.STDEV.S(F59,F62,F65,F68,F71),"0.0000")</f>
        <v>440.9027 ± 54.3096</v>
      </c>
      <c r="O59" t="str">
        <f t="shared" ref="O59:O61" si="36">TEXT(AVERAGE(G59,G62,G65,G68,G71),"0.0000") &amp; " ± " &amp; TEXT(_xlfn.STDEV.S(G59,G62,G65,G68,G71),"0.0000")</f>
        <v>0.0538 ± 0.0087</v>
      </c>
      <c r="P59" t="str">
        <f>TEXT(AVERAGE(H59,H62,H65,H68,H71),"0.0000") &amp; " ± " &amp; TEXT(_xlfn.STDEV.S(H59,H62,H65,H68,H71),"0.0000")</f>
        <v>-0.7367 ± 0.4223</v>
      </c>
    </row>
    <row r="60" spans="1:16" x14ac:dyDescent="0.3">
      <c r="A60" s="23">
        <v>45954.988888888889</v>
      </c>
      <c r="B60" s="24" t="s">
        <v>55</v>
      </c>
      <c r="C60" s="24">
        <v>42</v>
      </c>
      <c r="D60" s="33">
        <v>124489.0975</v>
      </c>
      <c r="E60" s="33">
        <v>308.8016629</v>
      </c>
      <c r="F60" s="33">
        <v>352.83012550000001</v>
      </c>
      <c r="G60" s="33">
        <v>4.2861832000000002E-2</v>
      </c>
      <c r="H60" s="33">
        <v>-0.10440840699999999</v>
      </c>
      <c r="I60">
        <f t="shared" si="33"/>
        <v>4</v>
      </c>
      <c r="K60" t="s">
        <v>75</v>
      </c>
      <c r="L60" t="str">
        <f>TEXT(AVERAGE(D60,D63,D66,D69,D72),"0.0000") &amp; " ± " &amp; TEXT(_xlfn.STDEV.S(D60,D63,D66,D69,D72),"0.0000")</f>
        <v>160174.2339 ± 68935.4345</v>
      </c>
      <c r="M60" t="str">
        <f t="shared" si="34"/>
        <v>345.8967 ± 96.1718</v>
      </c>
      <c r="N60" t="str">
        <f t="shared" si="35"/>
        <v>391.1232 ± 94.8477</v>
      </c>
      <c r="O60" t="str">
        <f t="shared" si="36"/>
        <v>0.0480 ± 0.0134</v>
      </c>
      <c r="P60" t="str">
        <f t="shared" ref="P60:P61" si="37">TEXT(AVERAGE(H60,H63,H66,H69,H72),"0.0000") &amp; " ± " &amp; TEXT(_xlfn.STDEV.S(H60,H63,H66,H69,H72),"0.0000")</f>
        <v>-0.4315 ± 0.6266</v>
      </c>
    </row>
    <row r="61" spans="1:16" x14ac:dyDescent="0.3">
      <c r="A61" s="23">
        <v>45978.18209490741</v>
      </c>
      <c r="B61" s="24" t="s">
        <v>35</v>
      </c>
      <c r="C61" s="24">
        <v>42</v>
      </c>
      <c r="D61" s="33">
        <v>63886.831353102003</v>
      </c>
      <c r="E61" s="33">
        <v>225.49836577719699</v>
      </c>
      <c r="F61" s="33">
        <v>252.75844467218499</v>
      </c>
      <c r="G61" s="33">
        <v>3.1178371675736099E-2</v>
      </c>
      <c r="H61" s="33">
        <v>0.42575348593496198</v>
      </c>
      <c r="I61">
        <f t="shared" si="33"/>
        <v>4</v>
      </c>
      <c r="K61" s="6" t="s">
        <v>74</v>
      </c>
      <c r="L61" s="6" t="str">
        <f t="shared" ref="L61" si="38">TEXT(AVERAGE(D61,D64,D67,D70,D73),"0.0000") &amp; " ± " &amp; TEXT(_xlfn.STDEV.S(D61,D64,D67,D70,D73),"0.0000")</f>
        <v>113810.0405 ± 42988.7027</v>
      </c>
      <c r="M61" s="6" t="str">
        <f t="shared" si="34"/>
        <v>301.0583 ± 65.8522</v>
      </c>
      <c r="N61" s="6" t="str">
        <f t="shared" si="35"/>
        <v>332.1990 ± 65.7061</v>
      </c>
      <c r="O61" s="6" t="str">
        <f t="shared" si="36"/>
        <v>0.0418 ± 0.0093</v>
      </c>
      <c r="P61" s="6" t="str">
        <f t="shared" si="37"/>
        <v>-0.0210 ± 0.3909</v>
      </c>
    </row>
    <row r="62" spans="1:16" x14ac:dyDescent="0.3">
      <c r="A62" s="25">
        <v>45977.889849537038</v>
      </c>
      <c r="B62" s="26" t="s">
        <v>19</v>
      </c>
      <c r="C62" s="26">
        <v>73</v>
      </c>
      <c r="D62" s="34">
        <v>167110.14251587901</v>
      </c>
      <c r="E62" s="34">
        <v>353.39089663710303</v>
      </c>
      <c r="F62" s="34">
        <v>408.79107440828398</v>
      </c>
      <c r="G62" s="34">
        <v>4.8895035024388203E-2</v>
      </c>
      <c r="H62" s="34">
        <v>-0.47500587009202599</v>
      </c>
      <c r="I62">
        <f t="shared" si="33"/>
        <v>4</v>
      </c>
    </row>
    <row r="63" spans="1:16" x14ac:dyDescent="0.3">
      <c r="A63" s="25">
        <v>45955.685416666667</v>
      </c>
      <c r="B63" s="26" t="s">
        <v>59</v>
      </c>
      <c r="C63" s="26">
        <v>73</v>
      </c>
      <c r="D63" s="34">
        <v>237619.78810000001</v>
      </c>
      <c r="E63" s="34">
        <v>438.72888219999999</v>
      </c>
      <c r="F63" s="34">
        <v>487.46260169999999</v>
      </c>
      <c r="G63" s="34">
        <v>6.0713007999999999E-2</v>
      </c>
      <c r="H63" s="34">
        <v>-1.1606650220000001</v>
      </c>
      <c r="I63">
        <f t="shared" si="33"/>
        <v>4</v>
      </c>
      <c r="L63" s="35" t="s">
        <v>76</v>
      </c>
    </row>
    <row r="64" spans="1:16" x14ac:dyDescent="0.3">
      <c r="A64" s="25">
        <v>45978.734837962962</v>
      </c>
      <c r="B64" s="26" t="s">
        <v>39</v>
      </c>
      <c r="C64" s="26">
        <v>73</v>
      </c>
      <c r="D64" s="34">
        <v>158767.01291528501</v>
      </c>
      <c r="E64" s="34">
        <v>372.66740845812001</v>
      </c>
      <c r="F64" s="34">
        <v>398.455785395676</v>
      </c>
      <c r="G64" s="34">
        <v>5.18904049012704E-2</v>
      </c>
      <c r="H64" s="34">
        <v>-0.42392179756324899</v>
      </c>
      <c r="I64">
        <f t="shared" si="33"/>
        <v>4</v>
      </c>
      <c r="K64" t="s">
        <v>73</v>
      </c>
      <c r="L64" s="3">
        <f>_xlfn.STDEV.S(D59,D62,D65,D68,D71)/AVERAGE(D59,D62,D65,D68,D71)</f>
        <v>0.24319045037294637</v>
      </c>
      <c r="M64" s="3">
        <f t="shared" ref="M64:M66" si="39">_xlfn.STDEV.S(E59,E62,E65,E68,E71)/AVERAGE(E59,E62,E65,E68,E71)</f>
        <v>0.15817865084491728</v>
      </c>
      <c r="N64" s="3">
        <f t="shared" ref="N64:N66" si="40">_xlfn.STDEV.S(F59,F62,F65,F68,F71)/AVERAGE(F59,F62,F65,F68,F71)</f>
        <v>0.12317822297286787</v>
      </c>
      <c r="O64" s="3">
        <f t="shared" ref="O64:O66" si="41">_xlfn.STDEV.S(G59,G62,G65,G68,G71)/AVERAGE(G59,G62,G65,G68,G71)</f>
        <v>0.16145951081761667</v>
      </c>
      <c r="P64" s="3">
        <f>_xlfn.STDEV.S(H59,H62,H65,H68,H71)/ABS(AVERAGE(H59,H62,H65,H68,H71))</f>
        <v>0.57331359213063959</v>
      </c>
    </row>
    <row r="65" spans="1:16" x14ac:dyDescent="0.3">
      <c r="A65" s="23">
        <v>45977.893252314818</v>
      </c>
      <c r="B65" s="24" t="s">
        <v>23</v>
      </c>
      <c r="C65" s="24">
        <v>1234</v>
      </c>
      <c r="D65" s="33">
        <v>196509.29262038201</v>
      </c>
      <c r="E65" s="33">
        <v>379.36961238855599</v>
      </c>
      <c r="F65" s="33">
        <v>443.29368664620301</v>
      </c>
      <c r="G65" s="33">
        <v>5.2554445583920799E-2</v>
      </c>
      <c r="H65" s="33">
        <v>-0.73449891059217598</v>
      </c>
      <c r="I65">
        <f t="shared" si="33"/>
        <v>4</v>
      </c>
      <c r="K65" t="s">
        <v>75</v>
      </c>
      <c r="L65" s="3">
        <f>_xlfn.STDEV.S(D60,D63,D66,D69,D72)/AVERAGE(D60,D63,D66,D69,D72)</f>
        <v>0.43037780074060761</v>
      </c>
      <c r="M65" s="3">
        <f t="shared" si="39"/>
        <v>0.27803620358614733</v>
      </c>
      <c r="N65" s="3">
        <f t="shared" si="40"/>
        <v>0.24250090024372939</v>
      </c>
      <c r="O65" s="3">
        <f t="shared" si="41"/>
        <v>0.27959054493594659</v>
      </c>
      <c r="P65" s="3">
        <f t="shared" ref="P65:P66" si="42">_xlfn.STDEV.S(H60,H63,H66,H69,H72)/ABS(AVERAGE(H60,H63,H66,H69,H72))</f>
        <v>1.4521177235065779</v>
      </c>
    </row>
    <row r="66" spans="1:16" x14ac:dyDescent="0.3">
      <c r="A66" s="23">
        <v>45956.910416666666</v>
      </c>
      <c r="B66" s="24" t="s">
        <v>63</v>
      </c>
      <c r="C66" s="24">
        <v>1234</v>
      </c>
      <c r="D66" s="33">
        <v>190132.5779</v>
      </c>
      <c r="E66" s="33">
        <v>390.83564799999999</v>
      </c>
      <c r="F66" s="33">
        <v>436.04194510000002</v>
      </c>
      <c r="G66" s="33">
        <v>5.4219252000000003E-2</v>
      </c>
      <c r="H66" s="33">
        <v>-0.68676632599999998</v>
      </c>
      <c r="I66">
        <f t="shared" si="33"/>
        <v>4</v>
      </c>
      <c r="K66" t="s">
        <v>74</v>
      </c>
      <c r="L66" s="3">
        <f t="shared" ref="L66" si="43">_xlfn.STDEV.S(D61,D64,D67,D70,D73)/AVERAGE(D61,D64,D67,D70,D73)</f>
        <v>0.37772328812800088</v>
      </c>
      <c r="M66" s="3">
        <f t="shared" si="39"/>
        <v>0.21873556072570258</v>
      </c>
      <c r="N66" s="3">
        <f t="shared" si="40"/>
        <v>0.19779149553641925</v>
      </c>
      <c r="O66" s="3">
        <f t="shared" si="41"/>
        <v>0.22103890578762408</v>
      </c>
      <c r="P66" s="3">
        <f t="shared" si="42"/>
        <v>18.628942833780457</v>
      </c>
    </row>
    <row r="67" spans="1:16" x14ac:dyDescent="0.3">
      <c r="A67" s="23">
        <v>45979.101446759261</v>
      </c>
      <c r="B67" s="24" t="s">
        <v>43</v>
      </c>
      <c r="C67" s="24">
        <v>1234</v>
      </c>
      <c r="D67" s="33">
        <v>117860.275029132</v>
      </c>
      <c r="E67" s="33">
        <v>313.81514716683</v>
      </c>
      <c r="F67" s="33">
        <v>343.30784294730603</v>
      </c>
      <c r="G67" s="33">
        <v>4.37888737573549E-2</v>
      </c>
      <c r="H67" s="33">
        <v>-4.5600629119409097E-2</v>
      </c>
      <c r="I67">
        <f t="shared" si="33"/>
        <v>4</v>
      </c>
    </row>
    <row r="68" spans="1:16" x14ac:dyDescent="0.3">
      <c r="A68" s="25">
        <v>45977.897766203707</v>
      </c>
      <c r="B68" s="26" t="s">
        <v>27</v>
      </c>
      <c r="C68" s="26">
        <v>31415</v>
      </c>
      <c r="D68" s="34">
        <v>222652.897378569</v>
      </c>
      <c r="E68" s="34">
        <v>422.96469381188302</v>
      </c>
      <c r="F68" s="34">
        <v>471.86109966659501</v>
      </c>
      <c r="G68" s="34">
        <v>5.8684434812970997E-2</v>
      </c>
      <c r="H68" s="34">
        <v>-0.96525672040031596</v>
      </c>
      <c r="I68">
        <f t="shared" si="33"/>
        <v>4</v>
      </c>
    </row>
    <row r="69" spans="1:16" x14ac:dyDescent="0.3">
      <c r="A69" s="25">
        <v>45957.67083333333</v>
      </c>
      <c r="B69" s="26" t="s">
        <v>67</v>
      </c>
      <c r="C69" s="26">
        <v>31415</v>
      </c>
      <c r="D69" s="34">
        <v>188610.42430000001</v>
      </c>
      <c r="E69" s="34">
        <v>395.34565220000002</v>
      </c>
      <c r="F69" s="34">
        <v>434.29301670000001</v>
      </c>
      <c r="G69" s="34">
        <v>5.5013284000000003E-2</v>
      </c>
      <c r="H69" s="34">
        <v>-0.67326249900000001</v>
      </c>
      <c r="I69">
        <f t="shared" si="33"/>
        <v>4</v>
      </c>
    </row>
    <row r="70" spans="1:16" x14ac:dyDescent="0.3">
      <c r="A70" s="25">
        <v>45979.779363425929</v>
      </c>
      <c r="B70" s="26" t="s">
        <v>47</v>
      </c>
      <c r="C70" s="26">
        <v>31415</v>
      </c>
      <c r="D70" s="34">
        <v>152095.50598780299</v>
      </c>
      <c r="E70" s="34">
        <v>352.81295693199598</v>
      </c>
      <c r="F70" s="34">
        <v>389.99423840334202</v>
      </c>
      <c r="G70" s="34">
        <v>4.90338021147581E-2</v>
      </c>
      <c r="H70" s="34">
        <v>-0.38299693991871397</v>
      </c>
      <c r="I70">
        <f t="shared" si="33"/>
        <v>4</v>
      </c>
    </row>
    <row r="71" spans="1:16" x14ac:dyDescent="0.3">
      <c r="A71" s="23">
        <v>45977.899791666663</v>
      </c>
      <c r="B71" s="24" t="s">
        <v>31</v>
      </c>
      <c r="C71" s="24">
        <v>271828183</v>
      </c>
      <c r="D71" s="33">
        <v>137104.58325407101</v>
      </c>
      <c r="E71" s="33">
        <v>312.209373611091</v>
      </c>
      <c r="F71" s="33">
        <v>370.27636064711402</v>
      </c>
      <c r="G71" s="33">
        <v>4.3129446280170299E-2</v>
      </c>
      <c r="H71" s="33">
        <v>-0.21016032941902399</v>
      </c>
      <c r="I71">
        <f t="shared" si="33"/>
        <v>4</v>
      </c>
    </row>
    <row r="72" spans="1:16" x14ac:dyDescent="0.3">
      <c r="A72" s="45">
        <v>45958.499305555553</v>
      </c>
      <c r="B72" s="46" t="s">
        <v>71</v>
      </c>
      <c r="C72" s="46">
        <v>271828183</v>
      </c>
      <c r="D72" s="47">
        <v>60019.281880000002</v>
      </c>
      <c r="E72" s="47">
        <v>195.77173759999999</v>
      </c>
      <c r="F72" s="47">
        <v>244.98833010000001</v>
      </c>
      <c r="G72" s="47">
        <v>2.6950216999999999E-2</v>
      </c>
      <c r="H72" s="47">
        <v>0.46753731199999998</v>
      </c>
      <c r="I72">
        <f t="shared" si="33"/>
        <v>4</v>
      </c>
    </row>
    <row r="73" spans="1:16" x14ac:dyDescent="0.3">
      <c r="A73" s="23">
        <v>45980.243680555555</v>
      </c>
      <c r="B73" s="24" t="s">
        <v>51</v>
      </c>
      <c r="C73" s="24">
        <v>271828183</v>
      </c>
      <c r="D73" s="33">
        <v>76440.577093496904</v>
      </c>
      <c r="E73" s="33">
        <v>240.49775807714201</v>
      </c>
      <c r="F73" s="33">
        <v>276.47889086419701</v>
      </c>
      <c r="G73" s="33">
        <v>3.3352575068164303E-2</v>
      </c>
      <c r="H73" s="33">
        <v>0.321855345412566</v>
      </c>
      <c r="I73">
        <f t="shared" si="33"/>
        <v>4</v>
      </c>
    </row>
  </sheetData>
  <sortState xmlns:xlrd2="http://schemas.microsoft.com/office/spreadsheetml/2017/richdata2" ref="A5:I73">
    <sortCondition ref="I5:I73"/>
    <sortCondition ref="C5:C73"/>
  </sortState>
  <conditionalFormatting sqref="L10:O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:P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P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6:P4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4:P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AC2E-2A39-4D70-88F4-EF1A217A5893}">
  <dimension ref="A4:W73"/>
  <sheetViews>
    <sheetView workbookViewId="0">
      <selection activeCell="X15" sqref="X15"/>
    </sheetView>
  </sheetViews>
  <sheetFormatPr defaultRowHeight="14.4" x14ac:dyDescent="0.3"/>
  <cols>
    <col min="1" max="1" width="18.33203125" bestFit="1" customWidth="1"/>
    <col min="2" max="2" width="30.44140625" bestFit="1" customWidth="1"/>
    <col min="3" max="3" width="10" bestFit="1" customWidth="1"/>
    <col min="4" max="4" width="11.5546875" bestFit="1" customWidth="1"/>
    <col min="5" max="6" width="8.5546875" bestFit="1" customWidth="1"/>
    <col min="7" max="7" width="6.5546875" bestFit="1" customWidth="1"/>
    <col min="8" max="8" width="8.44140625" bestFit="1" customWidth="1"/>
    <col min="9" max="9" width="11.44140625" hidden="1" customWidth="1"/>
    <col min="10" max="10" width="0" hidden="1" customWidth="1"/>
    <col min="12" max="16" width="4.6640625" bestFit="1" customWidth="1"/>
    <col min="17" max="17" width="8.109375" customWidth="1"/>
    <col min="18" max="18" width="7.5546875" bestFit="1" customWidth="1"/>
    <col min="19" max="23" width="6.5546875" bestFit="1" customWidth="1"/>
  </cols>
  <sheetData>
    <row r="4" spans="1:23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83</v>
      </c>
      <c r="J4" t="s">
        <v>84</v>
      </c>
      <c r="L4" t="s">
        <v>85</v>
      </c>
      <c r="R4" t="s">
        <v>88</v>
      </c>
    </row>
    <row r="5" spans="1:23" x14ac:dyDescent="0.3">
      <c r="A5" s="9">
        <v>45977.884479166663</v>
      </c>
      <c r="B5" t="s">
        <v>12</v>
      </c>
      <c r="C5">
        <v>42</v>
      </c>
      <c r="D5" s="3">
        <v>36724.369587909503</v>
      </c>
      <c r="E5" s="3">
        <v>172.803324426496</v>
      </c>
      <c r="F5" s="3">
        <v>191.63603415826901</v>
      </c>
      <c r="G5" s="3">
        <v>2.4130384080150301E-2</v>
      </c>
      <c r="H5" s="3">
        <v>0.67585055040900099</v>
      </c>
      <c r="I5">
        <f t="shared" ref="I5:I19" si="0">IF(ISNUMBER(SEARCH("baseline",B5)),1,IF(ISNUMBER(SEARCH("rs",B5)),2,IF(ISNUMBER(SEARCH("optuna",B5)),3,"")))</f>
        <v>1</v>
      </c>
      <c r="J5">
        <f t="shared" ref="J5:J19" si="1">IF(ISNUMBER(SEARCH("gru",B5)),1,IF(ISNUMBER(SEARCH("lstm",B5)),2,IF(ISNUMBER(SEARCH("tcn",B5)),3,IF(ISNUMBER(SEARCH("transformer",B5)),4,""))))</f>
        <v>1</v>
      </c>
    </row>
    <row r="6" spans="1:23" x14ac:dyDescent="0.3">
      <c r="A6" s="9">
        <v>45977.968657407408</v>
      </c>
      <c r="B6" t="s">
        <v>32</v>
      </c>
      <c r="C6">
        <v>42</v>
      </c>
      <c r="D6" s="3">
        <v>50074.421433420699</v>
      </c>
      <c r="E6" s="3">
        <v>204.50469817397399</v>
      </c>
      <c r="F6" s="3">
        <v>223.773147257262</v>
      </c>
      <c r="G6" s="3">
        <v>2.8390745102540801E-2</v>
      </c>
      <c r="H6" s="3">
        <v>0.54990627422048199</v>
      </c>
      <c r="I6">
        <f t="shared" si="0"/>
        <v>2</v>
      </c>
      <c r="J6">
        <f t="shared" si="1"/>
        <v>1</v>
      </c>
      <c r="R6" s="35" t="s">
        <v>86</v>
      </c>
      <c r="S6" t="str">
        <f>IF(D6&lt;D5,"Better","Worse")</f>
        <v>Worse</v>
      </c>
      <c r="T6" t="str">
        <f t="shared" ref="T6:V6" si="2">IF(E6&lt;E5,"Better","Worse")</f>
        <v>Worse</v>
      </c>
      <c r="U6" t="str">
        <f t="shared" si="2"/>
        <v>Worse</v>
      </c>
      <c r="V6" t="str">
        <f t="shared" si="2"/>
        <v>Worse</v>
      </c>
      <c r="W6" t="str">
        <f>IF(H6&gt;H5,"Better","Worse")</f>
        <v>Worse</v>
      </c>
    </row>
    <row r="7" spans="1:23" x14ac:dyDescent="0.3">
      <c r="A7" s="9">
        <v>45954.918055555558</v>
      </c>
      <c r="B7" t="s">
        <v>52</v>
      </c>
      <c r="C7">
        <v>42</v>
      </c>
      <c r="D7" s="3">
        <v>14965.8567</v>
      </c>
      <c r="E7" s="3">
        <v>102.24748</v>
      </c>
      <c r="F7" s="3">
        <v>122.3350183</v>
      </c>
      <c r="G7" s="3">
        <v>1.4162727999999999E-2</v>
      </c>
      <c r="H7" s="3">
        <v>0.86547945999999998</v>
      </c>
      <c r="I7">
        <f t="shared" si="0"/>
        <v>3</v>
      </c>
      <c r="J7">
        <f t="shared" si="1"/>
        <v>1</v>
      </c>
      <c r="L7" t="str">
        <f>IF(D7&lt;D6, "Opt.", "RS")</f>
        <v>Opt.</v>
      </c>
      <c r="M7" t="str">
        <f t="shared" ref="M7:O7" si="3">IF(E7&lt;E6, "Opt.", "RS")</f>
        <v>Opt.</v>
      </c>
      <c r="N7" t="str">
        <f t="shared" si="3"/>
        <v>Opt.</v>
      </c>
      <c r="O7" t="str">
        <f t="shared" si="3"/>
        <v>Opt.</v>
      </c>
      <c r="P7" t="str">
        <f>IF(H7&gt;H6, "Opt.", "RS")</f>
        <v>Opt.</v>
      </c>
      <c r="R7" s="35" t="s">
        <v>87</v>
      </c>
      <c r="S7" t="str">
        <f>IF(D7&lt;D5,"Better","Worse")</f>
        <v>Better</v>
      </c>
      <c r="T7" t="str">
        <f t="shared" ref="T7:V7" si="4">IF(E7&lt;E5,"Better","Worse")</f>
        <v>Better</v>
      </c>
      <c r="U7" t="str">
        <f t="shared" si="4"/>
        <v>Better</v>
      </c>
      <c r="V7" t="str">
        <f t="shared" si="4"/>
        <v>Better</v>
      </c>
      <c r="W7" t="str">
        <f>IF(H7&gt;H5,"Better","Worse")</f>
        <v>Better</v>
      </c>
    </row>
    <row r="8" spans="1:23" x14ac:dyDescent="0.3">
      <c r="A8" s="9">
        <v>45977.888148148151</v>
      </c>
      <c r="B8" t="s">
        <v>16</v>
      </c>
      <c r="C8">
        <v>73</v>
      </c>
      <c r="D8" s="3">
        <v>20374.770961021699</v>
      </c>
      <c r="E8" s="3">
        <v>125.12653360413699</v>
      </c>
      <c r="F8" s="3">
        <v>142.74022194539799</v>
      </c>
      <c r="G8" s="3">
        <v>1.7434320630286299E-2</v>
      </c>
      <c r="H8" s="3">
        <v>0.82016108467843696</v>
      </c>
      <c r="I8">
        <f t="shared" si="0"/>
        <v>1</v>
      </c>
      <c r="J8">
        <f t="shared" si="1"/>
        <v>1</v>
      </c>
      <c r="R8" s="35"/>
    </row>
    <row r="9" spans="1:23" x14ac:dyDescent="0.3">
      <c r="A9" s="9">
        <v>45978.26939814815</v>
      </c>
      <c r="B9" t="s">
        <v>36</v>
      </c>
      <c r="C9">
        <v>73</v>
      </c>
      <c r="D9" s="3">
        <v>16872.7577429015</v>
      </c>
      <c r="E9" s="3">
        <v>110.446022460036</v>
      </c>
      <c r="F9" s="3">
        <v>129.89517982935899</v>
      </c>
      <c r="G9" s="3">
        <v>1.53741164601257E-2</v>
      </c>
      <c r="H9" s="3">
        <v>0.84867456347534198</v>
      </c>
      <c r="I9">
        <f t="shared" si="0"/>
        <v>2</v>
      </c>
      <c r="J9">
        <f t="shared" si="1"/>
        <v>1</v>
      </c>
      <c r="R9" s="35" t="s">
        <v>86</v>
      </c>
      <c r="S9" t="str">
        <f>IF(D9&lt;D8,"Better","Worse")</f>
        <v>Better</v>
      </c>
      <c r="T9" t="str">
        <f t="shared" ref="T9" si="5">IF(E9&lt;E8,"Better","Worse")</f>
        <v>Better</v>
      </c>
      <c r="U9" t="str">
        <f t="shared" ref="U9" si="6">IF(F9&lt;F8,"Better","Worse")</f>
        <v>Better</v>
      </c>
      <c r="V9" t="str">
        <f t="shared" ref="V9" si="7">IF(G9&lt;G8,"Better","Worse")</f>
        <v>Better</v>
      </c>
      <c r="W9" t="str">
        <f>IF(H9&gt;H8,"Better","Worse")</f>
        <v>Better</v>
      </c>
    </row>
    <row r="10" spans="1:23" x14ac:dyDescent="0.3">
      <c r="A10" s="9">
        <v>45955.637499999997</v>
      </c>
      <c r="B10" t="s">
        <v>56</v>
      </c>
      <c r="C10">
        <v>73</v>
      </c>
      <c r="D10" s="3">
        <v>24530.232830000001</v>
      </c>
      <c r="E10" s="3">
        <v>139.78241600000001</v>
      </c>
      <c r="F10" s="3">
        <v>156.62130389999999</v>
      </c>
      <c r="G10" s="3">
        <v>1.95339E-2</v>
      </c>
      <c r="H10" s="3">
        <v>0.77694780200000002</v>
      </c>
      <c r="I10">
        <f t="shared" si="0"/>
        <v>3</v>
      </c>
      <c r="J10">
        <f t="shared" si="1"/>
        <v>1</v>
      </c>
      <c r="L10" t="str">
        <f>IF(D10&lt;D9, "Opt.", "RS")</f>
        <v>RS</v>
      </c>
      <c r="M10" t="str">
        <f t="shared" ref="M10" si="8">IF(E10&lt;E9, "Opt.", "RS")</f>
        <v>RS</v>
      </c>
      <c r="N10" t="str">
        <f t="shared" ref="N10" si="9">IF(F10&lt;F9, "Opt.", "RS")</f>
        <v>RS</v>
      </c>
      <c r="O10" t="str">
        <f t="shared" ref="O10" si="10">IF(G10&lt;G9, "Opt.", "RS")</f>
        <v>RS</v>
      </c>
      <c r="P10" t="str">
        <f>IF(H10&gt;H9, "Opt.", "RS")</f>
        <v>RS</v>
      </c>
      <c r="R10" s="35" t="s">
        <v>87</v>
      </c>
      <c r="S10" t="str">
        <f>IF(D10&lt;D8,"Better","Worse")</f>
        <v>Worse</v>
      </c>
      <c r="T10" t="str">
        <f t="shared" ref="T10" si="11">IF(E10&lt;E8,"Better","Worse")</f>
        <v>Worse</v>
      </c>
      <c r="U10" t="str">
        <f t="shared" ref="U10" si="12">IF(F10&lt;F8,"Better","Worse")</f>
        <v>Worse</v>
      </c>
      <c r="V10" t="str">
        <f t="shared" ref="V10" si="13">IF(G10&lt;G8,"Better","Worse")</f>
        <v>Worse</v>
      </c>
      <c r="W10" t="str">
        <f>IF(H10&gt;H8,"Better","Worse")</f>
        <v>Worse</v>
      </c>
    </row>
    <row r="11" spans="1:23" x14ac:dyDescent="0.3">
      <c r="A11" s="9">
        <v>45977.890428240738</v>
      </c>
      <c r="B11" t="s">
        <v>20</v>
      </c>
      <c r="C11">
        <v>1234</v>
      </c>
      <c r="D11" s="3">
        <v>30487.548864961998</v>
      </c>
      <c r="E11" s="3">
        <v>151.76884283138199</v>
      </c>
      <c r="F11" s="3">
        <v>174.60684083094199</v>
      </c>
      <c r="G11" s="3">
        <v>2.1111458060160501E-2</v>
      </c>
      <c r="H11" s="3">
        <v>0.730900154451946</v>
      </c>
      <c r="I11">
        <f t="shared" si="0"/>
        <v>1</v>
      </c>
      <c r="J11">
        <f t="shared" si="1"/>
        <v>1</v>
      </c>
      <c r="R11" s="35"/>
    </row>
    <row r="12" spans="1:23" x14ac:dyDescent="0.3">
      <c r="A12" s="9">
        <v>45978.816018518519</v>
      </c>
      <c r="B12" t="s">
        <v>40</v>
      </c>
      <c r="C12">
        <v>1234</v>
      </c>
      <c r="D12" s="3">
        <v>35533.707274084598</v>
      </c>
      <c r="E12" s="3">
        <v>159.823855805177</v>
      </c>
      <c r="F12" s="3">
        <v>188.50386540886799</v>
      </c>
      <c r="G12" s="3">
        <v>2.2179395774142401E-2</v>
      </c>
      <c r="H12" s="3">
        <v>0.67689375103583005</v>
      </c>
      <c r="I12">
        <f t="shared" si="0"/>
        <v>2</v>
      </c>
      <c r="J12">
        <f t="shared" si="1"/>
        <v>1</v>
      </c>
      <c r="R12" s="35" t="s">
        <v>86</v>
      </c>
      <c r="S12" t="str">
        <f>IF(D12&lt;D11,"Better","Worse")</f>
        <v>Worse</v>
      </c>
      <c r="T12" t="str">
        <f t="shared" ref="T12" si="14">IF(E12&lt;E11,"Better","Worse")</f>
        <v>Worse</v>
      </c>
      <c r="U12" t="str">
        <f t="shared" ref="U12" si="15">IF(F12&lt;F11,"Better","Worse")</f>
        <v>Worse</v>
      </c>
      <c r="V12" t="str">
        <f t="shared" ref="V12" si="16">IF(G12&lt;G11,"Better","Worse")</f>
        <v>Worse</v>
      </c>
      <c r="W12" t="str">
        <f>IF(H12&gt;H11,"Better","Worse")</f>
        <v>Worse</v>
      </c>
    </row>
    <row r="13" spans="1:23" x14ac:dyDescent="0.3">
      <c r="A13" s="9">
        <v>45956.913888888892</v>
      </c>
      <c r="B13" t="s">
        <v>60</v>
      </c>
      <c r="C13">
        <v>1234</v>
      </c>
      <c r="D13" s="3">
        <v>8551.8931630000006</v>
      </c>
      <c r="E13" s="3">
        <v>73.872558589999997</v>
      </c>
      <c r="F13" s="3">
        <v>92.476446530000004</v>
      </c>
      <c r="G13" s="3">
        <v>1.0298032E-2</v>
      </c>
      <c r="H13" s="3">
        <v>0.92413164800000003</v>
      </c>
      <c r="I13">
        <f t="shared" si="0"/>
        <v>3</v>
      </c>
      <c r="J13">
        <f t="shared" si="1"/>
        <v>1</v>
      </c>
      <c r="L13" t="str">
        <f>IF(D13&lt;D12, "Opt.", "RS")</f>
        <v>Opt.</v>
      </c>
      <c r="M13" t="str">
        <f t="shared" ref="M13" si="17">IF(E13&lt;E12, "Opt.", "RS")</f>
        <v>Opt.</v>
      </c>
      <c r="N13" t="str">
        <f t="shared" ref="N13" si="18">IF(F13&lt;F12, "Opt.", "RS")</f>
        <v>Opt.</v>
      </c>
      <c r="O13" t="str">
        <f t="shared" ref="O13" si="19">IF(G13&lt;G12, "Opt.", "RS")</f>
        <v>Opt.</v>
      </c>
      <c r="P13" t="str">
        <f>IF(H13&gt;H12, "Opt.", "RS")</f>
        <v>Opt.</v>
      </c>
      <c r="R13" s="35" t="s">
        <v>87</v>
      </c>
      <c r="S13" t="str">
        <f>IF(D13&lt;D11,"Better","Worse")</f>
        <v>Better</v>
      </c>
      <c r="T13" t="str">
        <f t="shared" ref="T13" si="20">IF(E13&lt;E11,"Better","Worse")</f>
        <v>Better</v>
      </c>
      <c r="U13" t="str">
        <f t="shared" ref="U13" si="21">IF(F13&lt;F11,"Better","Worse")</f>
        <v>Better</v>
      </c>
      <c r="V13" t="str">
        <f t="shared" ref="V13" si="22">IF(G13&lt;G11,"Better","Worse")</f>
        <v>Better</v>
      </c>
      <c r="W13" t="str">
        <f>IF(H13&gt;H11,"Better","Worse")</f>
        <v>Better</v>
      </c>
    </row>
    <row r="14" spans="1:23" x14ac:dyDescent="0.3">
      <c r="A14" s="9">
        <v>45977.896284722221</v>
      </c>
      <c r="B14" t="s">
        <v>24</v>
      </c>
      <c r="C14">
        <v>31415</v>
      </c>
      <c r="D14" s="3">
        <v>40609.239068207702</v>
      </c>
      <c r="E14" s="3">
        <v>173.54839897482299</v>
      </c>
      <c r="F14" s="3">
        <v>201.517341854758</v>
      </c>
      <c r="G14" s="3">
        <v>2.4061664831156099E-2</v>
      </c>
      <c r="H14" s="3">
        <v>0.64156055937846401</v>
      </c>
      <c r="I14">
        <f t="shared" si="0"/>
        <v>1</v>
      </c>
      <c r="J14">
        <f t="shared" si="1"/>
        <v>1</v>
      </c>
      <c r="R14" s="35"/>
    </row>
    <row r="15" spans="1:23" x14ac:dyDescent="0.3">
      <c r="A15" s="9">
        <v>45979.199074074073</v>
      </c>
      <c r="B15" t="s">
        <v>44</v>
      </c>
      <c r="C15">
        <v>31415</v>
      </c>
      <c r="D15" s="3">
        <v>19549.976775527299</v>
      </c>
      <c r="E15" s="3">
        <v>123.541605827281</v>
      </c>
      <c r="F15" s="3">
        <v>139.821231490526</v>
      </c>
      <c r="G15" s="3">
        <v>1.7207628238435101E-2</v>
      </c>
      <c r="H15" s="3">
        <v>0.82466358999030698</v>
      </c>
      <c r="I15">
        <f t="shared" si="0"/>
        <v>2</v>
      </c>
      <c r="J15">
        <f t="shared" si="1"/>
        <v>1</v>
      </c>
      <c r="R15" s="35" t="s">
        <v>86</v>
      </c>
      <c r="S15" t="str">
        <f>IF(D15&lt;D14,"Better","Worse")</f>
        <v>Better</v>
      </c>
      <c r="T15" t="str">
        <f t="shared" ref="T15" si="23">IF(E15&lt;E14,"Better","Worse")</f>
        <v>Better</v>
      </c>
      <c r="U15" t="str">
        <f t="shared" ref="U15" si="24">IF(F15&lt;F14,"Better","Worse")</f>
        <v>Better</v>
      </c>
      <c r="V15" t="str">
        <f t="shared" ref="V15" si="25">IF(G15&lt;G14,"Better","Worse")</f>
        <v>Better</v>
      </c>
      <c r="W15" t="str">
        <f>IF(H15&gt;H14,"Better","Worse")</f>
        <v>Better</v>
      </c>
    </row>
    <row r="16" spans="1:23" x14ac:dyDescent="0.3">
      <c r="A16" s="9">
        <v>45957.635416666664</v>
      </c>
      <c r="B16" t="s">
        <v>64</v>
      </c>
      <c r="C16">
        <v>31415</v>
      </c>
      <c r="D16" s="3">
        <v>10721.65209</v>
      </c>
      <c r="E16" s="3">
        <v>81.278615560000006</v>
      </c>
      <c r="F16" s="3">
        <v>103.5454108</v>
      </c>
      <c r="G16" s="3">
        <v>1.1268525E-2</v>
      </c>
      <c r="H16" s="3">
        <v>0.90362847499999999</v>
      </c>
      <c r="I16">
        <f t="shared" si="0"/>
        <v>3</v>
      </c>
      <c r="J16">
        <f t="shared" si="1"/>
        <v>1</v>
      </c>
      <c r="L16" t="str">
        <f>IF(D16&lt;D15, "Opt.", "RS")</f>
        <v>Opt.</v>
      </c>
      <c r="M16" t="str">
        <f t="shared" ref="M16" si="26">IF(E16&lt;E15, "Opt.", "RS")</f>
        <v>Opt.</v>
      </c>
      <c r="N16" t="str">
        <f t="shared" ref="N16" si="27">IF(F16&lt;F15, "Opt.", "RS")</f>
        <v>Opt.</v>
      </c>
      <c r="O16" t="str">
        <f t="shared" ref="O16" si="28">IF(G16&lt;G15, "Opt.", "RS")</f>
        <v>Opt.</v>
      </c>
      <c r="P16" t="str">
        <f>IF(H16&gt;H15, "Opt.", "RS")</f>
        <v>Opt.</v>
      </c>
      <c r="R16" s="35" t="s">
        <v>87</v>
      </c>
      <c r="S16" t="str">
        <f>IF(D16&lt;D14,"Better","Worse")</f>
        <v>Better</v>
      </c>
      <c r="T16" t="str">
        <f t="shared" ref="T16" si="29">IF(E16&lt;E14,"Better","Worse")</f>
        <v>Better</v>
      </c>
      <c r="U16" t="str">
        <f t="shared" ref="U16" si="30">IF(F16&lt;F14,"Better","Worse")</f>
        <v>Better</v>
      </c>
      <c r="V16" t="str">
        <f t="shared" ref="V16" si="31">IF(G16&lt;G14,"Better","Worse")</f>
        <v>Better</v>
      </c>
      <c r="W16" t="str">
        <f>IF(H16&gt;H14,"Better","Worse")</f>
        <v>Better</v>
      </c>
    </row>
    <row r="17" spans="1:23" x14ac:dyDescent="0.3">
      <c r="A17" s="9">
        <v>45977.8984375</v>
      </c>
      <c r="B17" t="s">
        <v>28</v>
      </c>
      <c r="C17">
        <v>271828183</v>
      </c>
      <c r="D17" s="3">
        <v>189822.415139497</v>
      </c>
      <c r="E17" s="3">
        <v>388.73378285911002</v>
      </c>
      <c r="F17" s="3">
        <v>435.68614292802198</v>
      </c>
      <c r="G17" s="3">
        <v>5.4069718064340903E-2</v>
      </c>
      <c r="H17" s="3">
        <v>-0.67547685849886796</v>
      </c>
      <c r="I17">
        <f t="shared" si="0"/>
        <v>1</v>
      </c>
      <c r="J17">
        <f t="shared" si="1"/>
        <v>1</v>
      </c>
      <c r="R17" s="35"/>
    </row>
    <row r="18" spans="1:23" x14ac:dyDescent="0.3">
      <c r="A18" s="9">
        <v>45979.846412037034</v>
      </c>
      <c r="B18" t="s">
        <v>48</v>
      </c>
      <c r="C18">
        <v>271828183</v>
      </c>
      <c r="D18" s="3">
        <v>27801.8736572499</v>
      </c>
      <c r="E18" s="3">
        <v>150.27057849123099</v>
      </c>
      <c r="F18" s="3">
        <v>166.73893863537</v>
      </c>
      <c r="G18" s="3">
        <v>2.1008284044185799E-2</v>
      </c>
      <c r="H18" s="3">
        <v>0.74719893305021901</v>
      </c>
      <c r="I18">
        <f t="shared" si="0"/>
        <v>2</v>
      </c>
      <c r="J18">
        <f t="shared" si="1"/>
        <v>1</v>
      </c>
      <c r="R18" s="35" t="s">
        <v>86</v>
      </c>
      <c r="S18" t="str">
        <f>IF(D18&lt;D17,"Better","Worse")</f>
        <v>Better</v>
      </c>
      <c r="T18" t="str">
        <f t="shared" ref="T18" si="32">IF(E18&lt;E17,"Better","Worse")</f>
        <v>Better</v>
      </c>
      <c r="U18" t="str">
        <f t="shared" ref="U18" si="33">IF(F18&lt;F17,"Better","Worse")</f>
        <v>Better</v>
      </c>
      <c r="V18" t="str">
        <f t="shared" ref="V18" si="34">IF(G18&lt;G17,"Better","Worse")</f>
        <v>Better</v>
      </c>
      <c r="W18" t="str">
        <f>IF(H18&gt;H17,"Better","Worse")</f>
        <v>Better</v>
      </c>
    </row>
    <row r="19" spans="1:23" x14ac:dyDescent="0.3">
      <c r="A19" s="9">
        <v>45958.524305555555</v>
      </c>
      <c r="B19" t="s">
        <v>68</v>
      </c>
      <c r="C19">
        <v>271828183</v>
      </c>
      <c r="D19" s="3">
        <v>7899.7227419999999</v>
      </c>
      <c r="E19" s="3">
        <v>67.908365619999998</v>
      </c>
      <c r="F19" s="3">
        <v>88.880384460000002</v>
      </c>
      <c r="G19" s="3">
        <v>9.471897E-3</v>
      </c>
      <c r="H19" s="3">
        <v>0.92899337500000001</v>
      </c>
      <c r="I19">
        <f t="shared" si="0"/>
        <v>3</v>
      </c>
      <c r="J19">
        <f t="shared" si="1"/>
        <v>1</v>
      </c>
      <c r="L19" t="str">
        <f>IF(D19&lt;D18, "Opt.", "RS")</f>
        <v>Opt.</v>
      </c>
      <c r="M19" t="str">
        <f t="shared" ref="M19" si="35">IF(E19&lt;E18, "Opt.", "RS")</f>
        <v>Opt.</v>
      </c>
      <c r="N19" t="str">
        <f t="shared" ref="N19" si="36">IF(F19&lt;F18, "Opt.", "RS")</f>
        <v>Opt.</v>
      </c>
      <c r="O19" t="str">
        <f t="shared" ref="O19" si="37">IF(G19&lt;G18, "Opt.", "RS")</f>
        <v>Opt.</v>
      </c>
      <c r="P19" t="str">
        <f>IF(H19&gt;H18, "Opt.", "RS")</f>
        <v>Opt.</v>
      </c>
      <c r="R19" s="35" t="s">
        <v>87</v>
      </c>
      <c r="S19" t="str">
        <f>IF(D19&lt;D17,"Better","Worse")</f>
        <v>Better</v>
      </c>
      <c r="T19" t="str">
        <f t="shared" ref="T19" si="38">IF(E19&lt;E17,"Better","Worse")</f>
        <v>Better</v>
      </c>
      <c r="U19" t="str">
        <f t="shared" ref="U19" si="39">IF(F19&lt;F17,"Better","Worse")</f>
        <v>Better</v>
      </c>
      <c r="V19" t="str">
        <f t="shared" ref="V19" si="40">IF(G19&lt;G17,"Better","Worse")</f>
        <v>Better</v>
      </c>
      <c r="W19" t="str">
        <f>IF(H19&gt;H17,"Better","Worse")</f>
        <v>Better</v>
      </c>
    </row>
    <row r="20" spans="1:23" x14ac:dyDescent="0.3">
      <c r="A20" s="9"/>
      <c r="D20" s="3"/>
      <c r="E20" s="3"/>
      <c r="F20" s="3"/>
      <c r="G20" s="3"/>
      <c r="H20" s="3"/>
    </row>
    <row r="21" spans="1:23" x14ac:dyDescent="0.3">
      <c r="A21" s="9"/>
      <c r="D21" s="3"/>
      <c r="E21" s="3"/>
      <c r="F21" s="3"/>
      <c r="G21" s="3"/>
      <c r="H21" s="3"/>
    </row>
    <row r="22" spans="1:23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L22" t="s">
        <v>85</v>
      </c>
      <c r="R22" t="s">
        <v>88</v>
      </c>
    </row>
    <row r="23" spans="1:23" x14ac:dyDescent="0.3">
      <c r="A23" s="9">
        <v>45977.884780092594</v>
      </c>
      <c r="B23" t="s">
        <v>13</v>
      </c>
      <c r="C23">
        <v>42</v>
      </c>
      <c r="D23" s="3">
        <v>332647.46408268099</v>
      </c>
      <c r="E23" s="3">
        <v>528.90481884159306</v>
      </c>
      <c r="F23" s="3">
        <v>576.75598313557305</v>
      </c>
      <c r="G23" s="3">
        <v>7.3539461510102405E-2</v>
      </c>
      <c r="H23" s="3">
        <v>-1.93612915892617</v>
      </c>
      <c r="I23">
        <f t="shared" ref="I23:I37" si="41">IF(ISNUMBER(SEARCH("baseline",B23)),1,IF(ISNUMBER(SEARCH("rs",B23)),2,IF(ISNUMBER(SEARCH("optuna",B23)),3,"")))</f>
        <v>1</v>
      </c>
      <c r="J23">
        <f t="shared" ref="J23:J37" si="42">IF(ISNUMBER(SEARCH("gru",B23)),1,IF(ISNUMBER(SEARCH("lstm",B23)),2,IF(ISNUMBER(SEARCH("tcn",B23)),3,IF(ISNUMBER(SEARCH("transformer",B23)),4,""))))</f>
        <v>2</v>
      </c>
    </row>
    <row r="24" spans="1:23" x14ac:dyDescent="0.3">
      <c r="A24" s="9">
        <v>45978.030312499999</v>
      </c>
      <c r="B24" t="s">
        <v>33</v>
      </c>
      <c r="C24">
        <v>42</v>
      </c>
      <c r="D24" s="3">
        <v>22822.023026275099</v>
      </c>
      <c r="E24" s="3">
        <v>127.79471957616001</v>
      </c>
      <c r="F24" s="3">
        <v>151.06959663107301</v>
      </c>
      <c r="G24" s="3">
        <v>1.7766227043634099E-2</v>
      </c>
      <c r="H24" s="3">
        <v>0.79753380324157097</v>
      </c>
      <c r="I24">
        <f t="shared" si="41"/>
        <v>2</v>
      </c>
      <c r="J24">
        <f t="shared" si="42"/>
        <v>2</v>
      </c>
      <c r="R24" s="35" t="s">
        <v>86</v>
      </c>
      <c r="S24" t="str">
        <f>IF(D24&lt;D23,"Better","Worse")</f>
        <v>Better</v>
      </c>
      <c r="T24" t="str">
        <f t="shared" ref="T24" si="43">IF(E24&lt;E23,"Better","Worse")</f>
        <v>Better</v>
      </c>
      <c r="U24" t="str">
        <f t="shared" ref="U24" si="44">IF(F24&lt;F23,"Better","Worse")</f>
        <v>Better</v>
      </c>
      <c r="V24" t="str">
        <f t="shared" ref="V24" si="45">IF(G24&lt;G23,"Better","Worse")</f>
        <v>Better</v>
      </c>
      <c r="W24" t="str">
        <f>IF(H24&gt;H23,"Better","Worse")</f>
        <v>Better</v>
      </c>
    </row>
    <row r="25" spans="1:23" x14ac:dyDescent="0.3">
      <c r="A25" s="9">
        <v>45954.913194444445</v>
      </c>
      <c r="B25" t="s">
        <v>53</v>
      </c>
      <c r="C25">
        <v>42</v>
      </c>
      <c r="D25" s="3">
        <v>15275.02205</v>
      </c>
      <c r="E25" s="3">
        <v>104.1174554</v>
      </c>
      <c r="F25" s="3">
        <v>123.5921602</v>
      </c>
      <c r="G25" s="3">
        <v>1.4509317000000001E-2</v>
      </c>
      <c r="H25" s="3">
        <v>0.86448722700000002</v>
      </c>
      <c r="I25">
        <f t="shared" si="41"/>
        <v>3</v>
      </c>
      <c r="J25">
        <f t="shared" si="42"/>
        <v>2</v>
      </c>
      <c r="L25" t="str">
        <f>IF(D25&lt;D24, "Opt.", "RS")</f>
        <v>Opt.</v>
      </c>
      <c r="M25" t="str">
        <f t="shared" ref="M25" si="46">IF(E25&lt;E24, "Opt.", "RS")</f>
        <v>Opt.</v>
      </c>
      <c r="N25" t="str">
        <f t="shared" ref="N25" si="47">IF(F25&lt;F24, "Opt.", "RS")</f>
        <v>Opt.</v>
      </c>
      <c r="O25" t="str">
        <f t="shared" ref="O25" si="48">IF(G25&lt;G24, "Opt.", "RS")</f>
        <v>Opt.</v>
      </c>
      <c r="P25" t="str">
        <f>IF(H25&gt;H24, "Opt.", "RS")</f>
        <v>Opt.</v>
      </c>
      <c r="R25" s="35" t="s">
        <v>87</v>
      </c>
      <c r="S25" t="str">
        <f>IF(D25&lt;D23,"Better","Worse")</f>
        <v>Better</v>
      </c>
      <c r="T25" t="str">
        <f t="shared" ref="T25" si="49">IF(E25&lt;E23,"Better","Worse")</f>
        <v>Better</v>
      </c>
      <c r="U25" t="str">
        <f t="shared" ref="U25" si="50">IF(F25&lt;F23,"Better","Worse")</f>
        <v>Better</v>
      </c>
      <c r="V25" t="str">
        <f t="shared" ref="V25" si="51">IF(G25&lt;G23,"Better","Worse")</f>
        <v>Better</v>
      </c>
      <c r="W25" t="str">
        <f>IF(H25&gt;H23,"Better","Worse")</f>
        <v>Better</v>
      </c>
    </row>
    <row r="26" spans="1:23" x14ac:dyDescent="0.3">
      <c r="A26" s="9">
        <v>45977.888506944444</v>
      </c>
      <c r="B26" t="s">
        <v>17</v>
      </c>
      <c r="C26">
        <v>73</v>
      </c>
      <c r="D26" s="3">
        <v>101264.79475003701</v>
      </c>
      <c r="E26" s="3">
        <v>291.621277360519</v>
      </c>
      <c r="F26" s="3">
        <v>318.22129839160198</v>
      </c>
      <c r="G26" s="3">
        <v>4.0634325591755602E-2</v>
      </c>
      <c r="H26" s="3">
        <v>0.106181321844208</v>
      </c>
      <c r="I26">
        <f t="shared" si="41"/>
        <v>1</v>
      </c>
      <c r="J26">
        <f t="shared" si="42"/>
        <v>2</v>
      </c>
      <c r="R26" s="35"/>
    </row>
    <row r="27" spans="1:23" x14ac:dyDescent="0.3">
      <c r="A27" s="9">
        <v>45978.351261574076</v>
      </c>
      <c r="B27" t="s">
        <v>37</v>
      </c>
      <c r="C27">
        <v>73</v>
      </c>
      <c r="D27" s="3">
        <v>13549.638729251999</v>
      </c>
      <c r="E27" s="3">
        <v>88.576440794402899</v>
      </c>
      <c r="F27" s="3">
        <v>116.40291546714801</v>
      </c>
      <c r="G27" s="3">
        <v>1.25471297679085E-2</v>
      </c>
      <c r="H27" s="3">
        <v>0.87679380282897701</v>
      </c>
      <c r="I27">
        <f t="shared" si="41"/>
        <v>2</v>
      </c>
      <c r="J27">
        <f t="shared" si="42"/>
        <v>2</v>
      </c>
      <c r="R27" s="35" t="s">
        <v>86</v>
      </c>
      <c r="S27" t="str">
        <f>IF(D27&lt;D26,"Better","Worse")</f>
        <v>Better</v>
      </c>
      <c r="T27" t="str">
        <f t="shared" ref="T27" si="52">IF(E27&lt;E26,"Better","Worse")</f>
        <v>Better</v>
      </c>
      <c r="U27" t="str">
        <f t="shared" ref="U27" si="53">IF(F27&lt;F26,"Better","Worse")</f>
        <v>Better</v>
      </c>
      <c r="V27" t="str">
        <f t="shared" ref="V27" si="54">IF(G27&lt;G26,"Better","Worse")</f>
        <v>Better</v>
      </c>
      <c r="W27" t="str">
        <f>IF(H27&gt;H26,"Better","Worse")</f>
        <v>Better</v>
      </c>
    </row>
    <row r="28" spans="1:23" x14ac:dyDescent="0.3">
      <c r="A28" s="9">
        <v>45955.606944444444</v>
      </c>
      <c r="B28" t="s">
        <v>57</v>
      </c>
      <c r="C28">
        <v>73</v>
      </c>
      <c r="D28" s="3">
        <v>43413.540950000002</v>
      </c>
      <c r="E28" s="3">
        <v>185.71149199999999</v>
      </c>
      <c r="F28" s="3">
        <v>208.3591634</v>
      </c>
      <c r="G28" s="3">
        <v>2.5839291E-2</v>
      </c>
      <c r="H28" s="3">
        <v>0.61485559300000003</v>
      </c>
      <c r="I28">
        <f t="shared" si="41"/>
        <v>3</v>
      </c>
      <c r="J28">
        <f t="shared" si="42"/>
        <v>2</v>
      </c>
      <c r="L28" t="str">
        <f>IF(D28&lt;D27, "Opt.", "RS")</f>
        <v>RS</v>
      </c>
      <c r="M28" t="str">
        <f t="shared" ref="M28" si="55">IF(E28&lt;E27, "Opt.", "RS")</f>
        <v>RS</v>
      </c>
      <c r="N28" t="str">
        <f t="shared" ref="N28" si="56">IF(F28&lt;F27, "Opt.", "RS")</f>
        <v>RS</v>
      </c>
      <c r="O28" t="str">
        <f t="shared" ref="O28" si="57">IF(G28&lt;G27, "Opt.", "RS")</f>
        <v>RS</v>
      </c>
      <c r="P28" t="str">
        <f>IF(H28&gt;H27, "Opt.", "RS")</f>
        <v>RS</v>
      </c>
      <c r="R28" s="35" t="s">
        <v>87</v>
      </c>
      <c r="S28" t="str">
        <f>IF(D28&lt;D26,"Better","Worse")</f>
        <v>Better</v>
      </c>
      <c r="T28" t="str">
        <f t="shared" ref="T28" si="58">IF(E28&lt;E26,"Better","Worse")</f>
        <v>Better</v>
      </c>
      <c r="U28" t="str">
        <f t="shared" ref="U28" si="59">IF(F28&lt;F26,"Better","Worse")</f>
        <v>Better</v>
      </c>
      <c r="V28" t="str">
        <f t="shared" ref="V28" si="60">IF(G28&lt;G26,"Better","Worse")</f>
        <v>Better</v>
      </c>
      <c r="W28" t="str">
        <f>IF(H28&gt;H26,"Better","Worse")</f>
        <v>Better</v>
      </c>
    </row>
    <row r="29" spans="1:23" x14ac:dyDescent="0.3">
      <c r="A29" s="9">
        <v>45977.891597222224</v>
      </c>
      <c r="B29" t="s">
        <v>21</v>
      </c>
      <c r="C29">
        <v>1234</v>
      </c>
      <c r="D29" s="3">
        <v>59127.989590742298</v>
      </c>
      <c r="E29" s="3">
        <v>210.77625645268401</v>
      </c>
      <c r="F29" s="3">
        <v>243.16247570450099</v>
      </c>
      <c r="G29" s="3">
        <v>2.9205131326267699E-2</v>
      </c>
      <c r="H29" s="3">
        <v>0.47810389949970999</v>
      </c>
      <c r="I29">
        <f t="shared" si="41"/>
        <v>1</v>
      </c>
      <c r="J29">
        <f t="shared" si="42"/>
        <v>2</v>
      </c>
      <c r="R29" s="35"/>
    </row>
    <row r="30" spans="1:23" x14ac:dyDescent="0.3">
      <c r="A30" s="9">
        <v>45978.910381944443</v>
      </c>
      <c r="B30" t="s">
        <v>41</v>
      </c>
      <c r="C30">
        <v>1234</v>
      </c>
      <c r="D30" s="3">
        <v>357016.56817048002</v>
      </c>
      <c r="E30" s="3">
        <v>555.52008132138599</v>
      </c>
      <c r="F30" s="3">
        <v>597.508634389897</v>
      </c>
      <c r="G30" s="3">
        <v>7.6978689637439604E-2</v>
      </c>
      <c r="H30" s="3">
        <v>-2.20904191667046</v>
      </c>
      <c r="I30">
        <f t="shared" si="41"/>
        <v>2</v>
      </c>
      <c r="J30">
        <f t="shared" si="42"/>
        <v>2</v>
      </c>
      <c r="R30" s="35" t="s">
        <v>86</v>
      </c>
      <c r="S30" t="str">
        <f>IF(D30&lt;D29,"Better","Worse")</f>
        <v>Worse</v>
      </c>
      <c r="T30" t="str">
        <f t="shared" ref="T30" si="61">IF(E30&lt;E29,"Better","Worse")</f>
        <v>Worse</v>
      </c>
      <c r="U30" t="str">
        <f t="shared" ref="U30" si="62">IF(F30&lt;F29,"Better","Worse")</f>
        <v>Worse</v>
      </c>
      <c r="V30" t="str">
        <f t="shared" ref="V30" si="63">IF(G30&lt;G29,"Better","Worse")</f>
        <v>Worse</v>
      </c>
      <c r="W30" t="str">
        <f>IF(H30&gt;H29,"Better","Worse")</f>
        <v>Worse</v>
      </c>
    </row>
    <row r="31" spans="1:23" x14ac:dyDescent="0.3">
      <c r="A31" s="9">
        <v>45956.974999999999</v>
      </c>
      <c r="B31" t="s">
        <v>61</v>
      </c>
      <c r="C31">
        <v>1234</v>
      </c>
      <c r="D31" s="3">
        <v>15130.404070000001</v>
      </c>
      <c r="E31" s="3">
        <v>101.45408020000001</v>
      </c>
      <c r="F31" s="3">
        <v>123.0057075</v>
      </c>
      <c r="G31" s="3">
        <v>1.4068651E-2</v>
      </c>
      <c r="H31" s="3">
        <v>0.86400042700000002</v>
      </c>
      <c r="I31">
        <f t="shared" si="41"/>
        <v>3</v>
      </c>
      <c r="J31">
        <f t="shared" si="42"/>
        <v>2</v>
      </c>
      <c r="L31" t="str">
        <f>IF(D31&lt;D30, "Opt.", "RS")</f>
        <v>Opt.</v>
      </c>
      <c r="M31" t="str">
        <f t="shared" ref="M31" si="64">IF(E31&lt;E30, "Opt.", "RS")</f>
        <v>Opt.</v>
      </c>
      <c r="N31" t="str">
        <f t="shared" ref="N31" si="65">IF(F31&lt;F30, "Opt.", "RS")</f>
        <v>Opt.</v>
      </c>
      <c r="O31" t="str">
        <f t="shared" ref="O31" si="66">IF(G31&lt;G30, "Opt.", "RS")</f>
        <v>Opt.</v>
      </c>
      <c r="P31" t="str">
        <f>IF(H31&gt;H30, "Opt.", "RS")</f>
        <v>Opt.</v>
      </c>
      <c r="R31" s="35" t="s">
        <v>87</v>
      </c>
      <c r="S31" t="str">
        <f>IF(D31&lt;D29,"Better","Worse")</f>
        <v>Better</v>
      </c>
      <c r="T31" t="str">
        <f t="shared" ref="T31" si="67">IF(E31&lt;E29,"Better","Worse")</f>
        <v>Better</v>
      </c>
      <c r="U31" t="str">
        <f t="shared" ref="U31" si="68">IF(F31&lt;F29,"Better","Worse")</f>
        <v>Better</v>
      </c>
      <c r="V31" t="str">
        <f t="shared" ref="V31" si="69">IF(G31&lt;G29,"Better","Worse")</f>
        <v>Better</v>
      </c>
      <c r="W31" t="str">
        <f>IF(H31&gt;H29,"Better","Worse")</f>
        <v>Better</v>
      </c>
    </row>
    <row r="32" spans="1:23" x14ac:dyDescent="0.3">
      <c r="A32" s="9">
        <v>45977.897129629629</v>
      </c>
      <c r="B32" t="s">
        <v>25</v>
      </c>
      <c r="C32">
        <v>31415</v>
      </c>
      <c r="D32" s="3">
        <v>283520.022286386</v>
      </c>
      <c r="E32" s="3">
        <v>481.96209836047501</v>
      </c>
      <c r="F32" s="3">
        <v>532.46598228092103</v>
      </c>
      <c r="G32" s="3">
        <v>6.6898343315806894E-2</v>
      </c>
      <c r="H32" s="3">
        <v>-1.50250338408575</v>
      </c>
      <c r="I32">
        <f t="shared" si="41"/>
        <v>1</v>
      </c>
      <c r="J32">
        <f t="shared" si="42"/>
        <v>2</v>
      </c>
      <c r="R32" s="35"/>
    </row>
    <row r="33" spans="1:23" x14ac:dyDescent="0.3">
      <c r="A33" s="9">
        <v>45979.262083333335</v>
      </c>
      <c r="B33" t="s">
        <v>45</v>
      </c>
      <c r="C33">
        <v>31415</v>
      </c>
      <c r="D33" s="3">
        <v>8700.6525634769296</v>
      </c>
      <c r="E33" s="3">
        <v>73.751330827509094</v>
      </c>
      <c r="F33" s="3">
        <v>93.277288572711697</v>
      </c>
      <c r="G33" s="3">
        <v>1.0352175832634199E-2</v>
      </c>
      <c r="H33" s="3">
        <v>0.92196711010258803</v>
      </c>
      <c r="I33">
        <f t="shared" si="41"/>
        <v>2</v>
      </c>
      <c r="J33">
        <f t="shared" si="42"/>
        <v>2</v>
      </c>
      <c r="R33" s="35" t="s">
        <v>86</v>
      </c>
      <c r="S33" t="str">
        <f>IF(D33&lt;D32,"Better","Worse")</f>
        <v>Better</v>
      </c>
      <c r="T33" t="str">
        <f t="shared" ref="T33" si="70">IF(E33&lt;E32,"Better","Worse")</f>
        <v>Better</v>
      </c>
      <c r="U33" t="str">
        <f t="shared" ref="U33" si="71">IF(F33&lt;F32,"Better","Worse")</f>
        <v>Better</v>
      </c>
      <c r="V33" t="str">
        <f t="shared" ref="V33" si="72">IF(G33&lt;G32,"Better","Worse")</f>
        <v>Better</v>
      </c>
      <c r="W33" t="str">
        <f>IF(H33&gt;H32,"Better","Worse")</f>
        <v>Better</v>
      </c>
    </row>
    <row r="34" spans="1:23" x14ac:dyDescent="0.3">
      <c r="A34" s="9">
        <v>45957.652777777781</v>
      </c>
      <c r="B34" t="s">
        <v>65</v>
      </c>
      <c r="C34">
        <v>31415</v>
      </c>
      <c r="D34" s="3">
        <v>36569.585469999998</v>
      </c>
      <c r="E34" s="3">
        <v>167.0486406</v>
      </c>
      <c r="F34" s="3">
        <v>191.23175850000001</v>
      </c>
      <c r="G34" s="3">
        <v>2.3187266000000002E-2</v>
      </c>
      <c r="H34" s="3">
        <v>0.67202110199999998</v>
      </c>
      <c r="I34">
        <f t="shared" si="41"/>
        <v>3</v>
      </c>
      <c r="J34">
        <f t="shared" si="42"/>
        <v>2</v>
      </c>
      <c r="L34" t="str">
        <f>IF(D34&lt;D33, "Opt.", "RS")</f>
        <v>RS</v>
      </c>
      <c r="M34" t="str">
        <f t="shared" ref="M34" si="73">IF(E34&lt;E33, "Opt.", "RS")</f>
        <v>RS</v>
      </c>
      <c r="N34" t="str">
        <f t="shared" ref="N34" si="74">IF(F34&lt;F33, "Opt.", "RS")</f>
        <v>RS</v>
      </c>
      <c r="O34" t="str">
        <f t="shared" ref="O34" si="75">IF(G34&lt;G33, "Opt.", "RS")</f>
        <v>RS</v>
      </c>
      <c r="P34" t="str">
        <f>IF(H34&gt;H33, "Opt.", "RS")</f>
        <v>RS</v>
      </c>
      <c r="R34" s="35" t="s">
        <v>87</v>
      </c>
      <c r="S34" t="str">
        <f>IF(D34&lt;D32,"Better","Worse")</f>
        <v>Better</v>
      </c>
      <c r="T34" t="str">
        <f t="shared" ref="T34" si="76">IF(E34&lt;E32,"Better","Worse")</f>
        <v>Better</v>
      </c>
      <c r="U34" t="str">
        <f t="shared" ref="U34" si="77">IF(F34&lt;F32,"Better","Worse")</f>
        <v>Better</v>
      </c>
      <c r="V34" t="str">
        <f t="shared" ref="V34" si="78">IF(G34&lt;G32,"Better","Worse")</f>
        <v>Better</v>
      </c>
      <c r="W34" t="str">
        <f>IF(H34&gt;H32,"Better","Worse")</f>
        <v>Better</v>
      </c>
    </row>
    <row r="35" spans="1:23" x14ac:dyDescent="0.3">
      <c r="A35" s="9">
        <v>45977.898784722223</v>
      </c>
      <c r="B35" t="s">
        <v>29</v>
      </c>
      <c r="C35">
        <v>271828183</v>
      </c>
      <c r="D35" s="3">
        <v>114538.351501492</v>
      </c>
      <c r="E35" s="3">
        <v>291.80016366267603</v>
      </c>
      <c r="F35" s="3">
        <v>338.43515110208699</v>
      </c>
      <c r="G35" s="3">
        <v>4.0345900305297701E-2</v>
      </c>
      <c r="H35" s="3">
        <v>-1.09783779240799E-2</v>
      </c>
      <c r="I35">
        <f t="shared" si="41"/>
        <v>1</v>
      </c>
      <c r="J35">
        <f t="shared" si="42"/>
        <v>2</v>
      </c>
      <c r="R35" s="35"/>
    </row>
    <row r="36" spans="1:23" x14ac:dyDescent="0.3">
      <c r="A36" s="9">
        <v>45979.905092592591</v>
      </c>
      <c r="B36" t="s">
        <v>49</v>
      </c>
      <c r="C36">
        <v>271828183</v>
      </c>
      <c r="D36" s="3">
        <v>24576.603021536099</v>
      </c>
      <c r="E36" s="3">
        <v>127.795244616601</v>
      </c>
      <c r="F36" s="3">
        <v>156.769266827194</v>
      </c>
      <c r="G36" s="3">
        <v>1.7719861490154001E-2</v>
      </c>
      <c r="H36" s="3">
        <v>0.77909330743491001</v>
      </c>
      <c r="I36">
        <f t="shared" si="41"/>
        <v>2</v>
      </c>
      <c r="J36">
        <f t="shared" si="42"/>
        <v>2</v>
      </c>
      <c r="R36" s="35" t="s">
        <v>86</v>
      </c>
      <c r="S36" t="str">
        <f>IF(D36&lt;D35,"Better","Worse")</f>
        <v>Better</v>
      </c>
      <c r="T36" t="str">
        <f t="shared" ref="T36" si="79">IF(E36&lt;E35,"Better","Worse")</f>
        <v>Better</v>
      </c>
      <c r="U36" t="str">
        <f t="shared" ref="U36" si="80">IF(F36&lt;F35,"Better","Worse")</f>
        <v>Better</v>
      </c>
      <c r="V36" t="str">
        <f t="shared" ref="V36" si="81">IF(G36&lt;G35,"Better","Worse")</f>
        <v>Better</v>
      </c>
      <c r="W36" t="str">
        <f>IF(H36&gt;H35,"Better","Worse")</f>
        <v>Better</v>
      </c>
    </row>
    <row r="37" spans="1:23" x14ac:dyDescent="0.3">
      <c r="A37" s="9">
        <v>45958.553472222222</v>
      </c>
      <c r="B37" t="s">
        <v>69</v>
      </c>
      <c r="C37">
        <v>271828183</v>
      </c>
      <c r="D37" s="3">
        <v>20242.05587</v>
      </c>
      <c r="E37" s="3">
        <v>121.1373912</v>
      </c>
      <c r="F37" s="3">
        <v>142.27457920000001</v>
      </c>
      <c r="G37" s="3">
        <v>1.6876726000000002E-2</v>
      </c>
      <c r="H37" s="3">
        <v>0.82042205199999996</v>
      </c>
      <c r="I37">
        <f t="shared" si="41"/>
        <v>3</v>
      </c>
      <c r="J37">
        <f t="shared" si="42"/>
        <v>2</v>
      </c>
      <c r="L37" t="str">
        <f>IF(D37&lt;D36, "Opt.", "RS")</f>
        <v>Opt.</v>
      </c>
      <c r="M37" t="str">
        <f t="shared" ref="M37" si="82">IF(E37&lt;E36, "Opt.", "RS")</f>
        <v>Opt.</v>
      </c>
      <c r="N37" t="str">
        <f t="shared" ref="N37" si="83">IF(F37&lt;F36, "Opt.", "RS")</f>
        <v>Opt.</v>
      </c>
      <c r="O37" t="str">
        <f t="shared" ref="O37" si="84">IF(G37&lt;G36, "Opt.", "RS")</f>
        <v>Opt.</v>
      </c>
      <c r="P37" t="str">
        <f>IF(H37&gt;H36, "Opt.", "RS")</f>
        <v>Opt.</v>
      </c>
      <c r="R37" s="35" t="s">
        <v>87</v>
      </c>
      <c r="S37" t="str">
        <f>IF(D37&lt;D35,"Better","Worse")</f>
        <v>Better</v>
      </c>
      <c r="T37" t="str">
        <f t="shared" ref="T37" si="85">IF(E37&lt;E35,"Better","Worse")</f>
        <v>Better</v>
      </c>
      <c r="U37" t="str">
        <f t="shared" ref="U37" si="86">IF(F37&lt;F35,"Better","Worse")</f>
        <v>Better</v>
      </c>
      <c r="V37" t="str">
        <f t="shared" ref="V37" si="87">IF(G37&lt;G35,"Better","Worse")</f>
        <v>Better</v>
      </c>
      <c r="W37" t="str">
        <f>IF(H37&gt;H35,"Better","Worse")</f>
        <v>Better</v>
      </c>
    </row>
    <row r="38" spans="1:23" x14ac:dyDescent="0.3">
      <c r="A38" s="9"/>
      <c r="D38" s="3"/>
      <c r="E38" s="3"/>
      <c r="F38" s="3"/>
      <c r="G38" s="3"/>
      <c r="H38" s="3"/>
    </row>
    <row r="39" spans="1:23" x14ac:dyDescent="0.3">
      <c r="A39" s="9"/>
      <c r="D39" s="3"/>
      <c r="E39" s="3"/>
      <c r="F39" s="3"/>
      <c r="G39" s="3"/>
      <c r="H39" s="3"/>
    </row>
    <row r="40" spans="1:23" x14ac:dyDescent="0.3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L40" t="s">
        <v>85</v>
      </c>
      <c r="R40" t="s">
        <v>88</v>
      </c>
    </row>
    <row r="41" spans="1:23" x14ac:dyDescent="0.3">
      <c r="A41" s="9">
        <v>45977.885914351849</v>
      </c>
      <c r="B41" t="s">
        <v>14</v>
      </c>
      <c r="C41">
        <v>42</v>
      </c>
      <c r="D41" s="3">
        <v>5700.4876235940701</v>
      </c>
      <c r="E41" s="3">
        <v>62.937167147359098</v>
      </c>
      <c r="F41" s="3">
        <v>75.501573649786096</v>
      </c>
      <c r="G41" s="3">
        <v>8.8996311056542994E-3</v>
      </c>
      <c r="H41" s="3">
        <v>0.94968436636699505</v>
      </c>
      <c r="I41">
        <f t="shared" ref="I41:I55" si="88">IF(ISNUMBER(SEARCH("baseline",B41)),1,IF(ISNUMBER(SEARCH("rs",B41)),2,IF(ISNUMBER(SEARCH("optuna",B41)),3,"")))</f>
        <v>1</v>
      </c>
      <c r="J41">
        <f t="shared" ref="J41:J55" si="89">IF(ISNUMBER(SEARCH("gru",B41)),1,IF(ISNUMBER(SEARCH("lstm",B41)),2,IF(ISNUMBER(SEARCH("tcn",B41)),3,IF(ISNUMBER(SEARCH("transformer",B41)),4,""))))</f>
        <v>3</v>
      </c>
    </row>
    <row r="42" spans="1:23" x14ac:dyDescent="0.3">
      <c r="A42" s="9">
        <v>45978.118564814817</v>
      </c>
      <c r="B42" t="s">
        <v>34</v>
      </c>
      <c r="C42">
        <v>42</v>
      </c>
      <c r="D42" s="3">
        <v>232357.13836083701</v>
      </c>
      <c r="E42" s="3">
        <v>454.48676649694301</v>
      </c>
      <c r="F42" s="3">
        <v>482.03437466724</v>
      </c>
      <c r="G42" s="3">
        <v>6.3299504886331306E-2</v>
      </c>
      <c r="H42" s="3">
        <v>-1.0839240346982799</v>
      </c>
      <c r="I42">
        <f t="shared" si="88"/>
        <v>2</v>
      </c>
      <c r="J42">
        <f t="shared" si="89"/>
        <v>3</v>
      </c>
      <c r="R42" s="35" t="s">
        <v>86</v>
      </c>
      <c r="S42" t="str">
        <f>IF(D42&lt;D41,"Better","Worse")</f>
        <v>Worse</v>
      </c>
      <c r="T42" t="str">
        <f t="shared" ref="T42" si="90">IF(E42&lt;E41,"Better","Worse")</f>
        <v>Worse</v>
      </c>
      <c r="U42" t="str">
        <f t="shared" ref="U42" si="91">IF(F42&lt;F41,"Better","Worse")</f>
        <v>Worse</v>
      </c>
      <c r="V42" t="str">
        <f t="shared" ref="V42" si="92">IF(G42&lt;G41,"Better","Worse")</f>
        <v>Worse</v>
      </c>
      <c r="W42" t="str">
        <f>IF(H42&gt;H41,"Better","Worse")</f>
        <v>Worse</v>
      </c>
    </row>
    <row r="43" spans="1:23" x14ac:dyDescent="0.3">
      <c r="A43" s="9">
        <v>45955.015972222223</v>
      </c>
      <c r="B43" t="s">
        <v>54</v>
      </c>
      <c r="C43">
        <v>42</v>
      </c>
      <c r="D43" s="3">
        <v>6027.7382870000001</v>
      </c>
      <c r="E43" s="3">
        <v>64.953746519999996</v>
      </c>
      <c r="F43" s="3">
        <v>77.638510339999996</v>
      </c>
      <c r="G43" s="3">
        <v>9.1887429999999992E-3</v>
      </c>
      <c r="H43" s="3">
        <v>0.94652475599999997</v>
      </c>
      <c r="I43">
        <f t="shared" si="88"/>
        <v>3</v>
      </c>
      <c r="J43">
        <f t="shared" si="89"/>
        <v>3</v>
      </c>
      <c r="L43" t="str">
        <f>IF(D43&lt;D42, "Opt.", "RS")</f>
        <v>Opt.</v>
      </c>
      <c r="M43" t="str">
        <f t="shared" ref="M43" si="93">IF(E43&lt;E42, "Opt.", "RS")</f>
        <v>Opt.</v>
      </c>
      <c r="N43" t="str">
        <f t="shared" ref="N43" si="94">IF(F43&lt;F42, "Opt.", "RS")</f>
        <v>Opt.</v>
      </c>
      <c r="O43" t="str">
        <f t="shared" ref="O43" si="95">IF(G43&lt;G42, "Opt.", "RS")</f>
        <v>Opt.</v>
      </c>
      <c r="P43" t="str">
        <f>IF(H43&gt;H42, "Opt.", "RS")</f>
        <v>Opt.</v>
      </c>
      <c r="R43" s="35" t="s">
        <v>87</v>
      </c>
      <c r="S43" t="str">
        <f>IF(D43&lt;D41,"Better","Worse")</f>
        <v>Worse</v>
      </c>
      <c r="T43" t="str">
        <f t="shared" ref="T43" si="96">IF(E43&lt;E41,"Better","Worse")</f>
        <v>Worse</v>
      </c>
      <c r="U43" t="str">
        <f t="shared" ref="U43" si="97">IF(F43&lt;F41,"Better","Worse")</f>
        <v>Worse</v>
      </c>
      <c r="V43" t="str">
        <f t="shared" ref="V43" si="98">IF(G43&lt;G41,"Better","Worse")</f>
        <v>Worse</v>
      </c>
      <c r="W43" t="str">
        <f>IF(H43&gt;H41,"Better","Worse")</f>
        <v>Worse</v>
      </c>
    </row>
    <row r="44" spans="1:23" x14ac:dyDescent="0.3">
      <c r="A44" s="9">
        <v>45977.889317129629</v>
      </c>
      <c r="B44" t="s">
        <v>18</v>
      </c>
      <c r="C44">
        <v>73</v>
      </c>
      <c r="D44" s="3">
        <v>5247.5817832268503</v>
      </c>
      <c r="E44" s="3">
        <v>58.313030249251703</v>
      </c>
      <c r="F44" s="3">
        <v>72.440194527809297</v>
      </c>
      <c r="G44" s="3">
        <v>8.3039889606853004E-3</v>
      </c>
      <c r="H44" s="3">
        <v>0.95368196198317401</v>
      </c>
      <c r="I44">
        <f t="shared" si="88"/>
        <v>1</v>
      </c>
      <c r="J44">
        <f t="shared" si="89"/>
        <v>3</v>
      </c>
      <c r="R44" s="35"/>
    </row>
    <row r="45" spans="1:23" x14ac:dyDescent="0.3">
      <c r="A45" s="9">
        <v>45978.67701388889</v>
      </c>
      <c r="B45" t="s">
        <v>38</v>
      </c>
      <c r="C45">
        <v>73</v>
      </c>
      <c r="D45" s="3">
        <v>3690.4821185483202</v>
      </c>
      <c r="E45" s="3">
        <v>44.586130735669599</v>
      </c>
      <c r="F45" s="3">
        <v>60.749338420663697</v>
      </c>
      <c r="G45" s="3">
        <v>6.3514632625359998E-3</v>
      </c>
      <c r="H45" s="3">
        <v>0.96725978771087795</v>
      </c>
      <c r="I45">
        <f t="shared" si="88"/>
        <v>2</v>
      </c>
      <c r="J45">
        <f t="shared" si="89"/>
        <v>3</v>
      </c>
      <c r="R45" s="35" t="s">
        <v>86</v>
      </c>
      <c r="S45" t="str">
        <f>IF(D45&lt;D44,"Better","Worse")</f>
        <v>Better</v>
      </c>
      <c r="T45" t="str">
        <f t="shared" ref="T45" si="99">IF(E45&lt;E44,"Better","Worse")</f>
        <v>Better</v>
      </c>
      <c r="U45" t="str">
        <f t="shared" ref="U45" si="100">IF(F45&lt;F44,"Better","Worse")</f>
        <v>Better</v>
      </c>
      <c r="V45" t="str">
        <f t="shared" ref="V45" si="101">IF(G45&lt;G44,"Better","Worse")</f>
        <v>Better</v>
      </c>
      <c r="W45" t="str">
        <f>IF(H45&gt;H44,"Better","Worse")</f>
        <v>Better</v>
      </c>
    </row>
    <row r="46" spans="1:23" x14ac:dyDescent="0.3">
      <c r="A46" s="9">
        <v>45955.682638888888</v>
      </c>
      <c r="B46" t="s">
        <v>58</v>
      </c>
      <c r="C46">
        <v>73</v>
      </c>
      <c r="D46" s="3">
        <v>7866.8563000000004</v>
      </c>
      <c r="E46" s="3">
        <v>75.0351</v>
      </c>
      <c r="F46" s="3">
        <v>88.695300000000003</v>
      </c>
      <c r="G46" s="3">
        <v>1.06E-2</v>
      </c>
      <c r="H46" s="3">
        <v>0.92849999999999999</v>
      </c>
      <c r="I46">
        <f t="shared" si="88"/>
        <v>3</v>
      </c>
      <c r="J46">
        <f t="shared" si="89"/>
        <v>3</v>
      </c>
      <c r="L46" t="str">
        <f>IF(D46&lt;D45, "Opt.", "RS")</f>
        <v>RS</v>
      </c>
      <c r="M46" t="str">
        <f t="shared" ref="M46" si="102">IF(E46&lt;E45, "Opt.", "RS")</f>
        <v>RS</v>
      </c>
      <c r="N46" t="str">
        <f t="shared" ref="N46" si="103">IF(F46&lt;F45, "Opt.", "RS")</f>
        <v>RS</v>
      </c>
      <c r="O46" t="str">
        <f t="shared" ref="O46" si="104">IF(G46&lt;G45, "Opt.", "RS")</f>
        <v>RS</v>
      </c>
      <c r="P46" t="str">
        <f>IF(H46&gt;H45, "Opt.", "RS")</f>
        <v>RS</v>
      </c>
      <c r="R46" s="35" t="s">
        <v>87</v>
      </c>
      <c r="S46" t="str">
        <f>IF(D46&lt;D44,"Better","Worse")</f>
        <v>Worse</v>
      </c>
      <c r="T46" t="str">
        <f t="shared" ref="T46" si="105">IF(E46&lt;E44,"Better","Worse")</f>
        <v>Worse</v>
      </c>
      <c r="U46" t="str">
        <f t="shared" ref="U46" si="106">IF(F46&lt;F44,"Better","Worse")</f>
        <v>Worse</v>
      </c>
      <c r="V46" t="str">
        <f t="shared" ref="V46" si="107">IF(G46&lt;G44,"Better","Worse")</f>
        <v>Worse</v>
      </c>
      <c r="W46" t="str">
        <f>IF(H46&gt;H44,"Better","Worse")</f>
        <v>Worse</v>
      </c>
    </row>
    <row r="47" spans="1:23" x14ac:dyDescent="0.3">
      <c r="A47" s="9">
        <v>45977.892754629633</v>
      </c>
      <c r="B47" t="s">
        <v>22</v>
      </c>
      <c r="C47">
        <v>1234</v>
      </c>
      <c r="D47" s="3">
        <v>5774.2719159811804</v>
      </c>
      <c r="E47" s="3">
        <v>63.098809570818602</v>
      </c>
      <c r="F47" s="3">
        <v>75.988630175712302</v>
      </c>
      <c r="G47" s="3">
        <v>8.9498855236468007E-3</v>
      </c>
      <c r="H47" s="3">
        <v>0.94903310569093402</v>
      </c>
      <c r="I47">
        <f t="shared" si="88"/>
        <v>1</v>
      </c>
      <c r="J47">
        <f t="shared" si="89"/>
        <v>3</v>
      </c>
      <c r="R47" s="35"/>
    </row>
    <row r="48" spans="1:23" x14ac:dyDescent="0.3">
      <c r="A48" s="9">
        <v>45979.040891203702</v>
      </c>
      <c r="B48" t="s">
        <v>42</v>
      </c>
      <c r="C48">
        <v>1234</v>
      </c>
      <c r="D48" s="3">
        <v>4939.9207347274096</v>
      </c>
      <c r="E48" s="3">
        <v>56.476794797276703</v>
      </c>
      <c r="F48" s="3">
        <v>70.2845696773296</v>
      </c>
      <c r="G48" s="3">
        <v>8.0201153807644993E-3</v>
      </c>
      <c r="H48" s="3">
        <v>0.95617535911269202</v>
      </c>
      <c r="I48">
        <f t="shared" si="88"/>
        <v>2</v>
      </c>
      <c r="J48">
        <f t="shared" si="89"/>
        <v>3</v>
      </c>
      <c r="R48" s="35" t="s">
        <v>86</v>
      </c>
      <c r="S48" t="str">
        <f>IF(D48&lt;D47,"Better","Worse")</f>
        <v>Better</v>
      </c>
      <c r="T48" t="str">
        <f t="shared" ref="T48" si="108">IF(E48&lt;E47,"Better","Worse")</f>
        <v>Better</v>
      </c>
      <c r="U48" t="str">
        <f t="shared" ref="U48" si="109">IF(F48&lt;F47,"Better","Worse")</f>
        <v>Better</v>
      </c>
      <c r="V48" t="str">
        <f t="shared" ref="V48" si="110">IF(G48&lt;G47,"Better","Worse")</f>
        <v>Better</v>
      </c>
      <c r="W48" t="str">
        <f>IF(H48&gt;H47,"Better","Worse")</f>
        <v>Better</v>
      </c>
    </row>
    <row r="49" spans="1:23" x14ac:dyDescent="0.3">
      <c r="A49" s="9">
        <v>45956.984722222223</v>
      </c>
      <c r="B49" t="s">
        <v>62</v>
      </c>
      <c r="C49">
        <v>1234</v>
      </c>
      <c r="D49" s="3">
        <v>3550.7193040000002</v>
      </c>
      <c r="E49" s="3">
        <v>41.386328149999997</v>
      </c>
      <c r="F49" s="3">
        <v>59.5879124</v>
      </c>
      <c r="G49" s="3">
        <v>5.9021200000000003E-3</v>
      </c>
      <c r="H49" s="3">
        <v>0.96771348400000001</v>
      </c>
      <c r="I49">
        <f t="shared" si="88"/>
        <v>3</v>
      </c>
      <c r="J49">
        <f t="shared" si="89"/>
        <v>3</v>
      </c>
      <c r="L49" t="str">
        <f>IF(D49&lt;D48, "Opt.", "RS")</f>
        <v>Opt.</v>
      </c>
      <c r="M49" t="str">
        <f t="shared" ref="M49" si="111">IF(E49&lt;E48, "Opt.", "RS")</f>
        <v>Opt.</v>
      </c>
      <c r="N49" t="str">
        <f t="shared" ref="N49" si="112">IF(F49&lt;F48, "Opt.", "RS")</f>
        <v>Opt.</v>
      </c>
      <c r="O49" t="str">
        <f t="shared" ref="O49" si="113">IF(G49&lt;G48, "Opt.", "RS")</f>
        <v>Opt.</v>
      </c>
      <c r="P49" t="str">
        <f>IF(H49&gt;H48, "Opt.", "RS")</f>
        <v>Opt.</v>
      </c>
      <c r="R49" s="35" t="s">
        <v>87</v>
      </c>
      <c r="S49" t="str">
        <f>IF(D49&lt;D47,"Better","Worse")</f>
        <v>Better</v>
      </c>
      <c r="T49" t="str">
        <f t="shared" ref="T49" si="114">IF(E49&lt;E47,"Better","Worse")</f>
        <v>Better</v>
      </c>
      <c r="U49" t="str">
        <f t="shared" ref="U49" si="115">IF(F49&lt;F47,"Better","Worse")</f>
        <v>Better</v>
      </c>
      <c r="V49" t="str">
        <f t="shared" ref="V49" si="116">IF(G49&lt;G47,"Better","Worse")</f>
        <v>Better</v>
      </c>
      <c r="W49" t="str">
        <f>IF(H49&gt;H47,"Better","Worse")</f>
        <v>Better</v>
      </c>
    </row>
    <row r="50" spans="1:23" x14ac:dyDescent="0.3">
      <c r="A50" s="9">
        <v>45977.89739583333</v>
      </c>
      <c r="B50" t="s">
        <v>26</v>
      </c>
      <c r="C50">
        <v>31415</v>
      </c>
      <c r="D50" s="3">
        <v>138519.091835156</v>
      </c>
      <c r="E50" s="3">
        <v>328.71835249058</v>
      </c>
      <c r="F50" s="3">
        <v>372.18153075502897</v>
      </c>
      <c r="G50" s="3">
        <v>4.5675686639203801E-2</v>
      </c>
      <c r="H50" s="3">
        <v>-0.22264555879519601</v>
      </c>
      <c r="I50">
        <f t="shared" si="88"/>
        <v>1</v>
      </c>
      <c r="J50">
        <f t="shared" si="89"/>
        <v>3</v>
      </c>
      <c r="R50" s="35"/>
    </row>
    <row r="51" spans="1:23" x14ac:dyDescent="0.3">
      <c r="A51" s="9">
        <v>45979.726238425923</v>
      </c>
      <c r="B51" t="s">
        <v>46</v>
      </c>
      <c r="C51">
        <v>31415</v>
      </c>
      <c r="D51" s="3">
        <v>25655.3783007741</v>
      </c>
      <c r="E51" s="3">
        <v>148.24243768699799</v>
      </c>
      <c r="F51" s="3">
        <v>160.17296370103799</v>
      </c>
      <c r="G51" s="3">
        <v>2.07446296035966E-2</v>
      </c>
      <c r="H51" s="3">
        <v>0.76990653337607495</v>
      </c>
      <c r="I51">
        <f t="shared" si="88"/>
        <v>2</v>
      </c>
      <c r="J51">
        <f t="shared" si="89"/>
        <v>3</v>
      </c>
      <c r="R51" s="35" t="s">
        <v>86</v>
      </c>
      <c r="S51" t="str">
        <f>IF(D51&lt;D50,"Better","Worse")</f>
        <v>Better</v>
      </c>
      <c r="T51" t="str">
        <f t="shared" ref="T51" si="117">IF(E51&lt;E50,"Better","Worse")</f>
        <v>Better</v>
      </c>
      <c r="U51" t="str">
        <f t="shared" ref="U51" si="118">IF(F51&lt;F50,"Better","Worse")</f>
        <v>Better</v>
      </c>
      <c r="V51" t="str">
        <f t="shared" ref="V51" si="119">IF(G51&lt;G50,"Better","Worse")</f>
        <v>Better</v>
      </c>
      <c r="W51" t="str">
        <f>IF(H51&gt;H50,"Better","Worse")</f>
        <v>Better</v>
      </c>
    </row>
    <row r="52" spans="1:23" x14ac:dyDescent="0.3">
      <c r="A52" s="9">
        <v>45957.64166666667</v>
      </c>
      <c r="B52" t="s">
        <v>66</v>
      </c>
      <c r="C52">
        <v>31415</v>
      </c>
      <c r="D52" s="3">
        <v>3643.238257</v>
      </c>
      <c r="E52" s="3">
        <v>39.937209189999997</v>
      </c>
      <c r="F52" s="3">
        <v>60.359243339999999</v>
      </c>
      <c r="G52" s="3">
        <v>5.7458680000000003E-3</v>
      </c>
      <c r="H52" s="3">
        <v>0.96732516199999996</v>
      </c>
      <c r="I52">
        <f t="shared" si="88"/>
        <v>3</v>
      </c>
      <c r="J52">
        <f t="shared" si="89"/>
        <v>3</v>
      </c>
      <c r="L52" t="str">
        <f>IF(D52&lt;D51, "Opt.", "RS")</f>
        <v>Opt.</v>
      </c>
      <c r="M52" t="str">
        <f t="shared" ref="M52" si="120">IF(E52&lt;E51, "Opt.", "RS")</f>
        <v>Opt.</v>
      </c>
      <c r="N52" t="str">
        <f t="shared" ref="N52" si="121">IF(F52&lt;F51, "Opt.", "RS")</f>
        <v>Opt.</v>
      </c>
      <c r="O52" t="str">
        <f t="shared" ref="O52" si="122">IF(G52&lt;G51, "Opt.", "RS")</f>
        <v>Opt.</v>
      </c>
      <c r="P52" t="str">
        <f>IF(H52&gt;H51, "Opt.", "RS")</f>
        <v>Opt.</v>
      </c>
      <c r="R52" s="35" t="s">
        <v>87</v>
      </c>
      <c r="S52" t="str">
        <f>IF(D52&lt;D50,"Better","Worse")</f>
        <v>Better</v>
      </c>
      <c r="T52" t="str">
        <f t="shared" ref="T52" si="123">IF(E52&lt;E50,"Better","Worse")</f>
        <v>Better</v>
      </c>
      <c r="U52" t="str">
        <f t="shared" ref="U52" si="124">IF(F52&lt;F50,"Better","Worse")</f>
        <v>Better</v>
      </c>
      <c r="V52" t="str">
        <f t="shared" ref="V52" si="125">IF(G52&lt;G50,"Better","Worse")</f>
        <v>Better</v>
      </c>
      <c r="W52" t="str">
        <f>IF(H52&gt;H50,"Better","Worse")</f>
        <v>Better</v>
      </c>
    </row>
    <row r="53" spans="1:23" x14ac:dyDescent="0.3">
      <c r="A53" s="9">
        <v>45977.899282407408</v>
      </c>
      <c r="B53" t="s">
        <v>30</v>
      </c>
      <c r="C53">
        <v>271828183</v>
      </c>
      <c r="D53" s="3">
        <v>4033.6980253252</v>
      </c>
      <c r="E53" s="3">
        <v>43.0500474833186</v>
      </c>
      <c r="F53" s="3">
        <v>63.511400750772303</v>
      </c>
      <c r="G53" s="3">
        <v>6.1635185284180001E-3</v>
      </c>
      <c r="H53" s="3">
        <v>0.96439636651636496</v>
      </c>
      <c r="I53">
        <f t="shared" si="88"/>
        <v>1</v>
      </c>
      <c r="J53">
        <f t="shared" si="89"/>
        <v>3</v>
      </c>
      <c r="R53" s="35"/>
    </row>
    <row r="54" spans="1:23" x14ac:dyDescent="0.3">
      <c r="A54" s="9">
        <v>45980.168912037036</v>
      </c>
      <c r="B54" t="s">
        <v>50</v>
      </c>
      <c r="C54">
        <v>271828183</v>
      </c>
      <c r="D54" s="3">
        <v>3112.8902865704799</v>
      </c>
      <c r="E54" s="3">
        <v>36.666303733705298</v>
      </c>
      <c r="F54" s="3">
        <v>55.793281733291799</v>
      </c>
      <c r="G54" s="3">
        <v>5.2393578050472997E-3</v>
      </c>
      <c r="H54" s="3">
        <v>0.97238390932641805</v>
      </c>
      <c r="I54">
        <f t="shared" si="88"/>
        <v>2</v>
      </c>
      <c r="J54">
        <f t="shared" si="89"/>
        <v>3</v>
      </c>
      <c r="R54" s="35" t="s">
        <v>86</v>
      </c>
      <c r="S54" t="str">
        <f>IF(D54&lt;D53,"Better","Worse")</f>
        <v>Better</v>
      </c>
      <c r="T54" t="str">
        <f t="shared" ref="T54" si="126">IF(E54&lt;E53,"Better","Worse")</f>
        <v>Better</v>
      </c>
      <c r="U54" t="str">
        <f t="shared" ref="U54" si="127">IF(F54&lt;F53,"Better","Worse")</f>
        <v>Better</v>
      </c>
      <c r="V54" t="str">
        <f t="shared" ref="V54" si="128">IF(G54&lt;G53,"Better","Worse")</f>
        <v>Better</v>
      </c>
      <c r="W54" t="str">
        <f>IF(H54&gt;H53,"Better","Worse")</f>
        <v>Better</v>
      </c>
    </row>
    <row r="55" spans="1:23" x14ac:dyDescent="0.3">
      <c r="A55" s="9">
        <v>45958.545138888891</v>
      </c>
      <c r="B55" t="s">
        <v>70</v>
      </c>
      <c r="C55">
        <v>271828183</v>
      </c>
      <c r="D55" s="3">
        <v>6187.8986000000004</v>
      </c>
      <c r="E55" s="3">
        <v>58.393099999999997</v>
      </c>
      <c r="F55" s="3">
        <v>78.663200000000003</v>
      </c>
      <c r="G55" s="3">
        <v>8.3999999999999995E-3</v>
      </c>
      <c r="H55" s="3">
        <v>0.94450000000000001</v>
      </c>
      <c r="I55">
        <f t="shared" si="88"/>
        <v>3</v>
      </c>
      <c r="J55">
        <f t="shared" si="89"/>
        <v>3</v>
      </c>
      <c r="L55" t="str">
        <f>IF(D55&lt;D54, "Opt.", "RS")</f>
        <v>RS</v>
      </c>
      <c r="M55" t="str">
        <f t="shared" ref="M55" si="129">IF(E55&lt;E54, "Opt.", "RS")</f>
        <v>RS</v>
      </c>
      <c r="N55" t="str">
        <f t="shared" ref="N55" si="130">IF(F55&lt;F54, "Opt.", "RS")</f>
        <v>RS</v>
      </c>
      <c r="O55" t="str">
        <f t="shared" ref="O55" si="131">IF(G55&lt;G54, "Opt.", "RS")</f>
        <v>RS</v>
      </c>
      <c r="P55" t="str">
        <f>IF(H55&gt;H54, "Opt.", "RS")</f>
        <v>RS</v>
      </c>
      <c r="R55" s="35" t="s">
        <v>87</v>
      </c>
      <c r="S55" t="str">
        <f>IF(D55&lt;D53,"Better","Worse")</f>
        <v>Worse</v>
      </c>
      <c r="T55" t="str">
        <f t="shared" ref="T55" si="132">IF(E55&lt;E53,"Better","Worse")</f>
        <v>Worse</v>
      </c>
      <c r="U55" t="str">
        <f t="shared" ref="U55" si="133">IF(F55&lt;F53,"Better","Worse")</f>
        <v>Worse</v>
      </c>
      <c r="V55" t="str">
        <f t="shared" ref="V55" si="134">IF(G55&lt;G53,"Better","Worse")</f>
        <v>Worse</v>
      </c>
      <c r="W55" t="str">
        <f>IF(H55&gt;H53,"Better","Worse")</f>
        <v>Worse</v>
      </c>
    </row>
    <row r="56" spans="1:23" x14ac:dyDescent="0.3">
      <c r="A56" s="9"/>
      <c r="D56" s="3"/>
      <c r="E56" s="3"/>
      <c r="F56" s="3"/>
      <c r="G56" s="3"/>
      <c r="H56" s="3"/>
    </row>
    <row r="57" spans="1:23" x14ac:dyDescent="0.3">
      <c r="A57" s="9"/>
      <c r="D57" s="3"/>
      <c r="E57" s="3"/>
      <c r="F57" s="3"/>
      <c r="G57" s="3"/>
      <c r="H57" s="3"/>
    </row>
    <row r="58" spans="1:23" x14ac:dyDescent="0.3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L58" t="s">
        <v>85</v>
      </c>
      <c r="R58" t="s">
        <v>88</v>
      </c>
    </row>
    <row r="59" spans="1:23" x14ac:dyDescent="0.3">
      <c r="A59" s="9">
        <v>45977.887175925927</v>
      </c>
      <c r="B59" t="s">
        <v>15</v>
      </c>
      <c r="C59">
        <v>42</v>
      </c>
      <c r="D59" s="3">
        <v>260397.06909306001</v>
      </c>
      <c r="E59" s="3">
        <v>470.48433028551898</v>
      </c>
      <c r="F59" s="3">
        <v>510.29116109634901</v>
      </c>
      <c r="G59" s="3">
        <v>6.5550933658919203E-2</v>
      </c>
      <c r="H59" s="3">
        <v>-1.2984075034854701</v>
      </c>
      <c r="I59">
        <f t="shared" ref="I59:I73" si="135">IF(ISNUMBER(SEARCH("baseline",B59)),1,IF(ISNUMBER(SEARCH("rs",B59)),2,IF(ISNUMBER(SEARCH("optuna",B59)),3,"")))</f>
        <v>1</v>
      </c>
      <c r="J59">
        <f t="shared" ref="J59:J73" si="136">IF(ISNUMBER(SEARCH("gru",B59)),1,IF(ISNUMBER(SEARCH("lstm",B59)),2,IF(ISNUMBER(SEARCH("tcn",B59)),3,IF(ISNUMBER(SEARCH("transformer",B59)),4,""))))</f>
        <v>4</v>
      </c>
    </row>
    <row r="60" spans="1:23" x14ac:dyDescent="0.3">
      <c r="A60" s="9">
        <v>45978.18209490741</v>
      </c>
      <c r="B60" t="s">
        <v>35</v>
      </c>
      <c r="C60">
        <v>42</v>
      </c>
      <c r="D60" s="3">
        <v>63886.831353102003</v>
      </c>
      <c r="E60" s="3">
        <v>225.49836577719699</v>
      </c>
      <c r="F60" s="3">
        <v>252.75844467218499</v>
      </c>
      <c r="G60" s="3">
        <v>3.1178371675736099E-2</v>
      </c>
      <c r="H60" s="3">
        <v>0.42575348593496198</v>
      </c>
      <c r="I60">
        <f t="shared" si="135"/>
        <v>2</v>
      </c>
      <c r="J60">
        <f t="shared" si="136"/>
        <v>4</v>
      </c>
      <c r="R60" s="35" t="s">
        <v>86</v>
      </c>
      <c r="S60" t="str">
        <f>IF(D60&lt;D59,"Better","Worse")</f>
        <v>Better</v>
      </c>
      <c r="T60" t="str">
        <f t="shared" ref="T60" si="137">IF(E60&lt;E59,"Better","Worse")</f>
        <v>Better</v>
      </c>
      <c r="U60" t="str">
        <f t="shared" ref="U60" si="138">IF(F60&lt;F59,"Better","Worse")</f>
        <v>Better</v>
      </c>
      <c r="V60" t="str">
        <f t="shared" ref="V60" si="139">IF(G60&lt;G59,"Better","Worse")</f>
        <v>Better</v>
      </c>
      <c r="W60" t="str">
        <f>IF(H60&gt;H59,"Better","Worse")</f>
        <v>Better</v>
      </c>
    </row>
    <row r="61" spans="1:23" x14ac:dyDescent="0.3">
      <c r="A61" s="9">
        <v>45954.988888888889</v>
      </c>
      <c r="B61" t="s">
        <v>55</v>
      </c>
      <c r="C61">
        <v>42</v>
      </c>
      <c r="D61" s="3">
        <v>124489.0975</v>
      </c>
      <c r="E61" s="3">
        <v>308.8016629</v>
      </c>
      <c r="F61" s="3">
        <v>352.83012550000001</v>
      </c>
      <c r="G61" s="3">
        <v>4.2861832000000002E-2</v>
      </c>
      <c r="H61" s="3">
        <v>-0.10440840699999999</v>
      </c>
      <c r="I61">
        <f t="shared" si="135"/>
        <v>3</v>
      </c>
      <c r="J61">
        <f t="shared" si="136"/>
        <v>4</v>
      </c>
      <c r="L61" t="str">
        <f>IF(D61&lt;D60, "Opt.", "RS")</f>
        <v>RS</v>
      </c>
      <c r="M61" t="str">
        <f t="shared" ref="M61" si="140">IF(E61&lt;E60, "Opt.", "RS")</f>
        <v>RS</v>
      </c>
      <c r="N61" t="str">
        <f t="shared" ref="N61" si="141">IF(F61&lt;F60, "Opt.", "RS")</f>
        <v>RS</v>
      </c>
      <c r="O61" t="str">
        <f t="shared" ref="O61" si="142">IF(G61&lt;G60, "Opt.", "RS")</f>
        <v>RS</v>
      </c>
      <c r="P61" t="str">
        <f>IF(H61&gt;H60, "Opt.", "RS")</f>
        <v>RS</v>
      </c>
      <c r="R61" s="35" t="s">
        <v>87</v>
      </c>
      <c r="S61" t="str">
        <f>IF(D61&lt;D59,"Better","Worse")</f>
        <v>Better</v>
      </c>
      <c r="T61" t="str">
        <f t="shared" ref="T61" si="143">IF(E61&lt;E59,"Better","Worse")</f>
        <v>Better</v>
      </c>
      <c r="U61" t="str">
        <f t="shared" ref="U61" si="144">IF(F61&lt;F59,"Better","Worse")</f>
        <v>Better</v>
      </c>
      <c r="V61" t="str">
        <f t="shared" ref="V61" si="145">IF(G61&lt;G59,"Better","Worse")</f>
        <v>Better</v>
      </c>
      <c r="W61" t="str">
        <f>IF(H61&gt;H59,"Better","Worse")</f>
        <v>Better</v>
      </c>
    </row>
    <row r="62" spans="1:23" x14ac:dyDescent="0.3">
      <c r="A62" s="9">
        <v>45977.889849537038</v>
      </c>
      <c r="B62" t="s">
        <v>19</v>
      </c>
      <c r="C62">
        <v>73</v>
      </c>
      <c r="D62" s="3">
        <v>167110.14251587901</v>
      </c>
      <c r="E62" s="3">
        <v>353.39089663710303</v>
      </c>
      <c r="F62" s="3">
        <v>408.79107440828398</v>
      </c>
      <c r="G62" s="3">
        <v>4.8895035024388203E-2</v>
      </c>
      <c r="H62" s="3">
        <v>-0.47500587009202599</v>
      </c>
      <c r="I62">
        <f t="shared" si="135"/>
        <v>1</v>
      </c>
      <c r="J62">
        <f t="shared" si="136"/>
        <v>4</v>
      </c>
      <c r="R62" s="35"/>
    </row>
    <row r="63" spans="1:23" x14ac:dyDescent="0.3">
      <c r="A63" s="9">
        <v>45978.734837962962</v>
      </c>
      <c r="B63" t="s">
        <v>39</v>
      </c>
      <c r="C63">
        <v>73</v>
      </c>
      <c r="D63" s="3">
        <v>158767.01291528501</v>
      </c>
      <c r="E63" s="3">
        <v>372.66740845812001</v>
      </c>
      <c r="F63" s="3">
        <v>398.455785395676</v>
      </c>
      <c r="G63" s="3">
        <v>5.18904049012704E-2</v>
      </c>
      <c r="H63" s="3">
        <v>-0.42392179756324899</v>
      </c>
      <c r="I63">
        <f t="shared" si="135"/>
        <v>2</v>
      </c>
      <c r="J63">
        <f t="shared" si="136"/>
        <v>4</v>
      </c>
      <c r="R63" s="35" t="s">
        <v>86</v>
      </c>
      <c r="S63" t="str">
        <f>IF(D63&lt;D62,"Better","Worse")</f>
        <v>Better</v>
      </c>
      <c r="T63" t="str">
        <f t="shared" ref="T63" si="146">IF(E63&lt;E62,"Better","Worse")</f>
        <v>Worse</v>
      </c>
      <c r="U63" t="str">
        <f t="shared" ref="U63" si="147">IF(F63&lt;F62,"Better","Worse")</f>
        <v>Better</v>
      </c>
      <c r="V63" t="str">
        <f t="shared" ref="V63" si="148">IF(G63&lt;G62,"Better","Worse")</f>
        <v>Worse</v>
      </c>
      <c r="W63" t="str">
        <f>IF(H63&gt;H62,"Better","Worse")</f>
        <v>Better</v>
      </c>
    </row>
    <row r="64" spans="1:23" x14ac:dyDescent="0.3">
      <c r="A64" s="9">
        <v>45955.685416666667</v>
      </c>
      <c r="B64" t="s">
        <v>59</v>
      </c>
      <c r="C64">
        <v>73</v>
      </c>
      <c r="D64" s="3">
        <v>237619.78810000001</v>
      </c>
      <c r="E64" s="3">
        <v>438.72888219999999</v>
      </c>
      <c r="F64" s="3">
        <v>487.46260169999999</v>
      </c>
      <c r="G64" s="3">
        <v>6.0713007999999999E-2</v>
      </c>
      <c r="H64" s="3">
        <v>-1.1606650220000001</v>
      </c>
      <c r="I64">
        <f t="shared" si="135"/>
        <v>3</v>
      </c>
      <c r="J64">
        <f t="shared" si="136"/>
        <v>4</v>
      </c>
      <c r="L64" t="str">
        <f>IF(D64&lt;D63, "Opt.", "RS")</f>
        <v>RS</v>
      </c>
      <c r="M64" t="str">
        <f t="shared" ref="M64" si="149">IF(E64&lt;E63, "Opt.", "RS")</f>
        <v>RS</v>
      </c>
      <c r="N64" t="str">
        <f t="shared" ref="N64" si="150">IF(F64&lt;F63, "Opt.", "RS")</f>
        <v>RS</v>
      </c>
      <c r="O64" t="str">
        <f t="shared" ref="O64" si="151">IF(G64&lt;G63, "Opt.", "RS")</f>
        <v>RS</v>
      </c>
      <c r="P64" t="str">
        <f>IF(H64&gt;H63, "Opt.", "RS")</f>
        <v>RS</v>
      </c>
      <c r="R64" s="35" t="s">
        <v>87</v>
      </c>
      <c r="S64" t="str">
        <f>IF(D64&lt;D62,"Better","Worse")</f>
        <v>Worse</v>
      </c>
      <c r="T64" t="str">
        <f t="shared" ref="T64" si="152">IF(E64&lt;E62,"Better","Worse")</f>
        <v>Worse</v>
      </c>
      <c r="U64" t="str">
        <f t="shared" ref="U64" si="153">IF(F64&lt;F62,"Better","Worse")</f>
        <v>Worse</v>
      </c>
      <c r="V64" t="str">
        <f t="shared" ref="V64" si="154">IF(G64&lt;G62,"Better","Worse")</f>
        <v>Worse</v>
      </c>
      <c r="W64" t="str">
        <f>IF(H64&gt;H62,"Better","Worse")</f>
        <v>Worse</v>
      </c>
    </row>
    <row r="65" spans="1:23" x14ac:dyDescent="0.3">
      <c r="A65" s="9">
        <v>45977.893252314818</v>
      </c>
      <c r="B65" t="s">
        <v>23</v>
      </c>
      <c r="C65">
        <v>1234</v>
      </c>
      <c r="D65" s="3">
        <v>196509.29262038201</v>
      </c>
      <c r="E65" s="3">
        <v>379.36961238855599</v>
      </c>
      <c r="F65" s="3">
        <v>443.29368664620301</v>
      </c>
      <c r="G65" s="3">
        <v>5.2554445583920799E-2</v>
      </c>
      <c r="H65" s="3">
        <v>-0.73449891059217598</v>
      </c>
      <c r="I65">
        <f t="shared" si="135"/>
        <v>1</v>
      </c>
      <c r="J65">
        <f t="shared" si="136"/>
        <v>4</v>
      </c>
      <c r="R65" s="35"/>
    </row>
    <row r="66" spans="1:23" x14ac:dyDescent="0.3">
      <c r="A66" s="9">
        <v>45979.101446759261</v>
      </c>
      <c r="B66" t="s">
        <v>43</v>
      </c>
      <c r="C66">
        <v>1234</v>
      </c>
      <c r="D66" s="3">
        <v>117860.275029132</v>
      </c>
      <c r="E66" s="3">
        <v>313.81514716683</v>
      </c>
      <c r="F66" s="3">
        <v>343.30784294730603</v>
      </c>
      <c r="G66" s="3">
        <v>4.37888737573549E-2</v>
      </c>
      <c r="H66" s="3">
        <v>-4.5600629119409097E-2</v>
      </c>
      <c r="I66">
        <f t="shared" si="135"/>
        <v>2</v>
      </c>
      <c r="J66">
        <f t="shared" si="136"/>
        <v>4</v>
      </c>
      <c r="R66" s="35" t="s">
        <v>86</v>
      </c>
      <c r="S66" t="str">
        <f>IF(D66&lt;D65,"Better","Worse")</f>
        <v>Better</v>
      </c>
      <c r="T66" t="str">
        <f t="shared" ref="T66" si="155">IF(E66&lt;E65,"Better","Worse")</f>
        <v>Better</v>
      </c>
      <c r="U66" t="str">
        <f t="shared" ref="U66" si="156">IF(F66&lt;F65,"Better","Worse")</f>
        <v>Better</v>
      </c>
      <c r="V66" t="str">
        <f t="shared" ref="V66" si="157">IF(G66&lt;G65,"Better","Worse")</f>
        <v>Better</v>
      </c>
      <c r="W66" t="str">
        <f>IF(H66&gt;H65,"Better","Worse")</f>
        <v>Better</v>
      </c>
    </row>
    <row r="67" spans="1:23" x14ac:dyDescent="0.3">
      <c r="A67" s="9">
        <v>45956.910416666666</v>
      </c>
      <c r="B67" t="s">
        <v>63</v>
      </c>
      <c r="C67">
        <v>1234</v>
      </c>
      <c r="D67" s="3">
        <v>190132.5779</v>
      </c>
      <c r="E67" s="3">
        <v>390.83564799999999</v>
      </c>
      <c r="F67" s="3">
        <v>436.04194510000002</v>
      </c>
      <c r="G67" s="3">
        <v>5.4219252000000003E-2</v>
      </c>
      <c r="H67" s="3">
        <v>-0.68676632599999998</v>
      </c>
      <c r="I67">
        <f t="shared" si="135"/>
        <v>3</v>
      </c>
      <c r="J67">
        <f t="shared" si="136"/>
        <v>4</v>
      </c>
      <c r="L67" t="str">
        <f>IF(D67&lt;D66, "Opt.", "RS")</f>
        <v>RS</v>
      </c>
      <c r="M67" t="str">
        <f t="shared" ref="M67" si="158">IF(E67&lt;E66, "Opt.", "RS")</f>
        <v>RS</v>
      </c>
      <c r="N67" t="str">
        <f t="shared" ref="N67" si="159">IF(F67&lt;F66, "Opt.", "RS")</f>
        <v>RS</v>
      </c>
      <c r="O67" t="str">
        <f t="shared" ref="O67" si="160">IF(G67&lt;G66, "Opt.", "RS")</f>
        <v>RS</v>
      </c>
      <c r="P67" t="str">
        <f>IF(H67&gt;H66, "Opt.", "RS")</f>
        <v>RS</v>
      </c>
      <c r="R67" s="35" t="s">
        <v>87</v>
      </c>
      <c r="S67" t="str">
        <f>IF(D67&lt;D65,"Better","Worse")</f>
        <v>Better</v>
      </c>
      <c r="T67" t="str">
        <f t="shared" ref="T67" si="161">IF(E67&lt;E65,"Better","Worse")</f>
        <v>Worse</v>
      </c>
      <c r="U67" t="str">
        <f t="shared" ref="U67" si="162">IF(F67&lt;F65,"Better","Worse")</f>
        <v>Better</v>
      </c>
      <c r="V67" t="str">
        <f t="shared" ref="V67" si="163">IF(G67&lt;G65,"Better","Worse")</f>
        <v>Worse</v>
      </c>
      <c r="W67" t="str">
        <f>IF(H67&gt;H65,"Better","Worse")</f>
        <v>Better</v>
      </c>
    </row>
    <row r="68" spans="1:23" x14ac:dyDescent="0.3">
      <c r="A68" s="9">
        <v>45977.897766203707</v>
      </c>
      <c r="B68" t="s">
        <v>27</v>
      </c>
      <c r="C68">
        <v>31415</v>
      </c>
      <c r="D68" s="3">
        <v>222652.897378569</v>
      </c>
      <c r="E68" s="3">
        <v>422.96469381188302</v>
      </c>
      <c r="F68" s="3">
        <v>471.86109966659501</v>
      </c>
      <c r="G68" s="3">
        <v>5.8684434812970997E-2</v>
      </c>
      <c r="H68" s="3">
        <v>-0.96525672040031596</v>
      </c>
      <c r="I68">
        <f t="shared" si="135"/>
        <v>1</v>
      </c>
      <c r="J68">
        <f t="shared" si="136"/>
        <v>4</v>
      </c>
      <c r="R68" s="35"/>
    </row>
    <row r="69" spans="1:23" x14ac:dyDescent="0.3">
      <c r="A69" s="9">
        <v>45979.779363425929</v>
      </c>
      <c r="B69" t="s">
        <v>47</v>
      </c>
      <c r="C69">
        <v>31415</v>
      </c>
      <c r="D69" s="3">
        <v>152095.50598780299</v>
      </c>
      <c r="E69" s="3">
        <v>352.81295693199598</v>
      </c>
      <c r="F69" s="3">
        <v>389.99423840334202</v>
      </c>
      <c r="G69" s="3">
        <v>4.90338021147581E-2</v>
      </c>
      <c r="H69" s="3">
        <v>-0.38299693991871397</v>
      </c>
      <c r="I69">
        <f t="shared" si="135"/>
        <v>2</v>
      </c>
      <c r="J69">
        <f t="shared" si="136"/>
        <v>4</v>
      </c>
      <c r="R69" s="35" t="s">
        <v>86</v>
      </c>
      <c r="S69" t="str">
        <f>IF(D69&lt;D68,"Better","Worse")</f>
        <v>Better</v>
      </c>
      <c r="T69" t="str">
        <f t="shared" ref="T69" si="164">IF(E69&lt;E68,"Better","Worse")</f>
        <v>Better</v>
      </c>
      <c r="U69" t="str">
        <f t="shared" ref="U69" si="165">IF(F69&lt;F68,"Better","Worse")</f>
        <v>Better</v>
      </c>
      <c r="V69" t="str">
        <f t="shared" ref="V69" si="166">IF(G69&lt;G68,"Better","Worse")</f>
        <v>Better</v>
      </c>
      <c r="W69" t="str">
        <f>IF(H69&gt;H68,"Better","Worse")</f>
        <v>Better</v>
      </c>
    </row>
    <row r="70" spans="1:23" x14ac:dyDescent="0.3">
      <c r="A70" s="9">
        <v>45957.67083333333</v>
      </c>
      <c r="B70" t="s">
        <v>67</v>
      </c>
      <c r="C70">
        <v>31415</v>
      </c>
      <c r="D70" s="3">
        <v>188610.42430000001</v>
      </c>
      <c r="E70" s="3">
        <v>395.34565220000002</v>
      </c>
      <c r="F70" s="3">
        <v>434.29301670000001</v>
      </c>
      <c r="G70" s="3">
        <v>5.5013284000000003E-2</v>
      </c>
      <c r="H70" s="3">
        <v>-0.67326249900000001</v>
      </c>
      <c r="I70">
        <f t="shared" si="135"/>
        <v>3</v>
      </c>
      <c r="J70">
        <f t="shared" si="136"/>
        <v>4</v>
      </c>
      <c r="L70" t="str">
        <f>IF(D70&lt;D69, "Opt.", "RS")</f>
        <v>RS</v>
      </c>
      <c r="M70" t="str">
        <f t="shared" ref="M70" si="167">IF(E70&lt;E69, "Opt.", "RS")</f>
        <v>RS</v>
      </c>
      <c r="N70" t="str">
        <f t="shared" ref="N70" si="168">IF(F70&lt;F69, "Opt.", "RS")</f>
        <v>RS</v>
      </c>
      <c r="O70" t="str">
        <f t="shared" ref="O70" si="169">IF(G70&lt;G69, "Opt.", "RS")</f>
        <v>RS</v>
      </c>
      <c r="P70" t="str">
        <f>IF(H70&gt;H69, "Opt.", "RS")</f>
        <v>RS</v>
      </c>
      <c r="R70" s="35" t="s">
        <v>87</v>
      </c>
      <c r="S70" t="str">
        <f>IF(D70&lt;D68,"Better","Worse")</f>
        <v>Better</v>
      </c>
      <c r="T70" t="str">
        <f t="shared" ref="T70" si="170">IF(E70&lt;E68,"Better","Worse")</f>
        <v>Better</v>
      </c>
      <c r="U70" t="str">
        <f t="shared" ref="U70" si="171">IF(F70&lt;F68,"Better","Worse")</f>
        <v>Better</v>
      </c>
      <c r="V70" t="str">
        <f t="shared" ref="V70" si="172">IF(G70&lt;G68,"Better","Worse")</f>
        <v>Better</v>
      </c>
      <c r="W70" t="str">
        <f>IF(H70&gt;H68,"Better","Worse")</f>
        <v>Better</v>
      </c>
    </row>
    <row r="71" spans="1:23" x14ac:dyDescent="0.3">
      <c r="A71" s="9">
        <v>45977.899791666663</v>
      </c>
      <c r="B71" t="s">
        <v>31</v>
      </c>
      <c r="C71">
        <v>271828183</v>
      </c>
      <c r="D71" s="3">
        <v>137104.58325407101</v>
      </c>
      <c r="E71" s="3">
        <v>312.209373611091</v>
      </c>
      <c r="F71" s="3">
        <v>370.27636064711402</v>
      </c>
      <c r="G71" s="3">
        <v>4.3129446280170299E-2</v>
      </c>
      <c r="H71" s="3">
        <v>-0.21016032941902399</v>
      </c>
      <c r="I71">
        <f t="shared" si="135"/>
        <v>1</v>
      </c>
      <c r="J71">
        <f t="shared" si="136"/>
        <v>4</v>
      </c>
      <c r="R71" s="35"/>
    </row>
    <row r="72" spans="1:23" x14ac:dyDescent="0.3">
      <c r="A72" s="9">
        <v>45980.243680555555</v>
      </c>
      <c r="B72" t="s">
        <v>51</v>
      </c>
      <c r="C72">
        <v>271828183</v>
      </c>
      <c r="D72" s="3">
        <v>76440.577093496904</v>
      </c>
      <c r="E72" s="3">
        <v>240.49775807714201</v>
      </c>
      <c r="F72" s="3">
        <v>276.47889086419701</v>
      </c>
      <c r="G72" s="3">
        <v>3.3352575068164303E-2</v>
      </c>
      <c r="H72" s="3">
        <v>0.321855345412566</v>
      </c>
      <c r="I72">
        <f t="shared" si="135"/>
        <v>2</v>
      </c>
      <c r="J72">
        <f t="shared" si="136"/>
        <v>4</v>
      </c>
      <c r="R72" s="35" t="s">
        <v>86</v>
      </c>
      <c r="S72" t="str">
        <f>IF(D72&lt;D71,"Better","Worse")</f>
        <v>Better</v>
      </c>
      <c r="T72" t="str">
        <f t="shared" ref="T72" si="173">IF(E72&lt;E71,"Better","Worse")</f>
        <v>Better</v>
      </c>
      <c r="U72" t="str">
        <f t="shared" ref="U72" si="174">IF(F72&lt;F71,"Better","Worse")</f>
        <v>Better</v>
      </c>
      <c r="V72" t="str">
        <f t="shared" ref="V72" si="175">IF(G72&lt;G71,"Better","Worse")</f>
        <v>Better</v>
      </c>
      <c r="W72" t="str">
        <f>IF(H72&gt;H71,"Better","Worse")</f>
        <v>Better</v>
      </c>
    </row>
    <row r="73" spans="1:23" x14ac:dyDescent="0.3">
      <c r="A73" s="9">
        <v>45958.499305555553</v>
      </c>
      <c r="B73" t="s">
        <v>71</v>
      </c>
      <c r="C73">
        <v>271828183</v>
      </c>
      <c r="D73" s="3">
        <v>60019.281880000002</v>
      </c>
      <c r="E73" s="3">
        <v>195.77173759999999</v>
      </c>
      <c r="F73" s="3">
        <v>244.98833010000001</v>
      </c>
      <c r="G73" s="3">
        <v>2.6950216999999999E-2</v>
      </c>
      <c r="H73" s="3">
        <v>0.46753731199999998</v>
      </c>
      <c r="I73">
        <f t="shared" si="135"/>
        <v>3</v>
      </c>
      <c r="J73">
        <f t="shared" si="136"/>
        <v>4</v>
      </c>
      <c r="L73" t="str">
        <f>IF(D73&lt;D72, "Opt.", "RS")</f>
        <v>Opt.</v>
      </c>
      <c r="M73" t="str">
        <f t="shared" ref="M73" si="176">IF(E73&lt;E72, "Opt.", "RS")</f>
        <v>Opt.</v>
      </c>
      <c r="N73" t="str">
        <f t="shared" ref="N73" si="177">IF(F73&lt;F72, "Opt.", "RS")</f>
        <v>Opt.</v>
      </c>
      <c r="O73" t="str">
        <f t="shared" ref="O73" si="178">IF(G73&lt;G72, "Opt.", "RS")</f>
        <v>Opt.</v>
      </c>
      <c r="P73" t="str">
        <f>IF(H73&gt;H72, "Opt.", "RS")</f>
        <v>Opt.</v>
      </c>
      <c r="R73" s="35" t="s">
        <v>87</v>
      </c>
      <c r="S73" t="str">
        <f>IF(D73&lt;D71,"Better","Worse")</f>
        <v>Better</v>
      </c>
      <c r="T73" t="str">
        <f t="shared" ref="T73" si="179">IF(E73&lt;E71,"Better","Worse")</f>
        <v>Better</v>
      </c>
      <c r="U73" t="str">
        <f t="shared" ref="U73" si="180">IF(F73&lt;F71,"Better","Worse")</f>
        <v>Better</v>
      </c>
      <c r="V73" t="str">
        <f t="shared" ref="V73" si="181">IF(G73&lt;G71,"Better","Worse")</f>
        <v>Better</v>
      </c>
      <c r="W73" t="str">
        <f>IF(H73&gt;H71,"Better","Worse")</f>
        <v>Better</v>
      </c>
    </row>
  </sheetData>
  <sortState xmlns:xlrd2="http://schemas.microsoft.com/office/spreadsheetml/2017/richdata2" ref="A5:J73">
    <sortCondition ref="J5:J73"/>
    <sortCondition ref="C5:C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ALL_METRICS</vt:lpstr>
      <vt:lpstr>Optuna vs. 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Alden</dc:creator>
  <cp:lastModifiedBy>Alden Ardiwinata Putra</cp:lastModifiedBy>
  <dcterms:created xsi:type="dcterms:W3CDTF">2025-12-02T15:37:25Z</dcterms:created>
  <dcterms:modified xsi:type="dcterms:W3CDTF">2025-12-04T07:17:08Z</dcterms:modified>
</cp:coreProperties>
</file>