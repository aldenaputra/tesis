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en\Downloads\TESIS S2\Colab\Excel Hands-On Analysis\"/>
    </mc:Choice>
  </mc:AlternateContent>
  <xr:revisionPtr revIDLastSave="0" documentId="13_ncr:1_{30159F15-7AA2-4231-8D30-5F981357AB1F}" xr6:coauthVersionLast="47" xr6:coauthVersionMax="47" xr10:uidLastSave="{00000000-0000-0000-0000-000000000000}"/>
  <bookViews>
    <workbookView xWindow="-108" yWindow="-108" windowWidth="23256" windowHeight="13896" activeTab="1" xr2:uid="{4ED1D5D0-395C-4C97-AEEC-F4DD8EE84320}"/>
  </bookViews>
  <sheets>
    <sheet name="ALL_UQ_METRICS" sheetId="1" r:id="rId1"/>
    <sheet name="Mean STD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2" l="1"/>
  <c r="N34" i="2"/>
  <c r="U57" i="2"/>
  <c r="T57" i="2"/>
  <c r="S57" i="2"/>
  <c r="R57" i="2"/>
  <c r="Q57" i="2"/>
  <c r="P57" i="2"/>
  <c r="O57" i="2"/>
  <c r="N57" i="2"/>
  <c r="U56" i="2"/>
  <c r="T56" i="2"/>
  <c r="S56" i="2"/>
  <c r="R56" i="2"/>
  <c r="Q56" i="2"/>
  <c r="P56" i="2"/>
  <c r="O56" i="2"/>
  <c r="N56" i="2"/>
  <c r="U55" i="2"/>
  <c r="T55" i="2"/>
  <c r="S55" i="2"/>
  <c r="R55" i="2"/>
  <c r="Q55" i="2"/>
  <c r="P55" i="2"/>
  <c r="O55" i="2"/>
  <c r="N55" i="2"/>
  <c r="U54" i="2"/>
  <c r="T54" i="2"/>
  <c r="S54" i="2"/>
  <c r="R54" i="2"/>
  <c r="Q54" i="2"/>
  <c r="P54" i="2"/>
  <c r="O54" i="2"/>
  <c r="N54" i="2"/>
  <c r="U35" i="2"/>
  <c r="T35" i="2"/>
  <c r="S35" i="2"/>
  <c r="R35" i="2"/>
  <c r="Q35" i="2"/>
  <c r="P35" i="2"/>
  <c r="O35" i="2"/>
  <c r="N35" i="2"/>
  <c r="U34" i="2"/>
  <c r="T34" i="2"/>
  <c r="S34" i="2"/>
  <c r="R34" i="2"/>
  <c r="Q34" i="2"/>
  <c r="P34" i="2"/>
  <c r="O34" i="2"/>
  <c r="U33" i="2"/>
  <c r="T33" i="2"/>
  <c r="S33" i="2"/>
  <c r="R33" i="2"/>
  <c r="Q33" i="2"/>
  <c r="P33" i="2"/>
  <c r="O33" i="2"/>
  <c r="N33" i="2"/>
  <c r="U32" i="2"/>
  <c r="T32" i="2"/>
  <c r="S32" i="2"/>
  <c r="R32" i="2"/>
  <c r="Q32" i="2"/>
  <c r="P32" i="2"/>
  <c r="O32" i="2"/>
  <c r="N32" i="2"/>
  <c r="U13" i="2"/>
  <c r="T13" i="2"/>
  <c r="O13" i="2"/>
  <c r="P13" i="2"/>
  <c r="Q13" i="2"/>
  <c r="R13" i="2"/>
  <c r="S13" i="2"/>
  <c r="N13" i="2"/>
  <c r="O12" i="2"/>
  <c r="P12" i="2"/>
  <c r="Q12" i="2"/>
  <c r="S12" i="2"/>
  <c r="T12" i="2"/>
  <c r="U12" i="2"/>
  <c r="N12" i="2"/>
  <c r="U11" i="2"/>
  <c r="O11" i="2"/>
  <c r="P11" i="2"/>
  <c r="Q11" i="2"/>
  <c r="R11" i="2"/>
  <c r="S11" i="2"/>
  <c r="T11" i="2"/>
  <c r="N11" i="2"/>
  <c r="O10" i="2"/>
  <c r="P10" i="2"/>
  <c r="Q10" i="2"/>
  <c r="R10" i="2"/>
  <c r="S10" i="2"/>
  <c r="T10" i="2"/>
  <c r="U10" i="2"/>
  <c r="N10" i="2"/>
  <c r="O51" i="2"/>
  <c r="N51" i="2"/>
  <c r="Q48" i="2"/>
  <c r="Q50" i="2"/>
  <c r="O50" i="2"/>
  <c r="N50" i="2"/>
  <c r="N49" i="2"/>
  <c r="N48" i="2"/>
  <c r="N26" i="2"/>
  <c r="U51" i="2"/>
  <c r="T51" i="2"/>
  <c r="S51" i="2"/>
  <c r="R51" i="2"/>
  <c r="Q51" i="2"/>
  <c r="P51" i="2"/>
  <c r="U50" i="2"/>
  <c r="T50" i="2"/>
  <c r="S50" i="2"/>
  <c r="R50" i="2"/>
  <c r="P50" i="2"/>
  <c r="U49" i="2"/>
  <c r="T49" i="2"/>
  <c r="S49" i="2"/>
  <c r="R49" i="2"/>
  <c r="Q49" i="2"/>
  <c r="P49" i="2"/>
  <c r="O49" i="2"/>
  <c r="U48" i="2"/>
  <c r="T48" i="2"/>
  <c r="S48" i="2"/>
  <c r="R48" i="2"/>
  <c r="P48" i="2"/>
  <c r="O48" i="2"/>
  <c r="U29" i="2"/>
  <c r="T29" i="2"/>
  <c r="S29" i="2"/>
  <c r="R29" i="2"/>
  <c r="Q29" i="2"/>
  <c r="P29" i="2"/>
  <c r="O29" i="2"/>
  <c r="N29" i="2"/>
  <c r="U28" i="2"/>
  <c r="T28" i="2"/>
  <c r="S28" i="2"/>
  <c r="R28" i="2"/>
  <c r="Q28" i="2"/>
  <c r="P28" i="2"/>
  <c r="O28" i="2"/>
  <c r="N28" i="2"/>
  <c r="U27" i="2"/>
  <c r="T27" i="2"/>
  <c r="S27" i="2"/>
  <c r="R27" i="2"/>
  <c r="Q27" i="2"/>
  <c r="P27" i="2"/>
  <c r="O27" i="2"/>
  <c r="N27" i="2"/>
  <c r="U26" i="2"/>
  <c r="T26" i="2"/>
  <c r="S26" i="2"/>
  <c r="R26" i="2"/>
  <c r="Q26" i="2"/>
  <c r="P26" i="2"/>
  <c r="O26" i="2"/>
  <c r="U7" i="2"/>
  <c r="P7" i="2"/>
  <c r="N7" i="2"/>
  <c r="N6" i="2"/>
  <c r="O7" i="2"/>
  <c r="Q7" i="2"/>
  <c r="R7" i="2"/>
  <c r="S7" i="2"/>
  <c r="T7" i="2"/>
  <c r="O4" i="2"/>
  <c r="O6" i="2"/>
  <c r="P6" i="2"/>
  <c r="Q6" i="2"/>
  <c r="R6" i="2"/>
  <c r="S6" i="2"/>
  <c r="T6" i="2"/>
  <c r="U6" i="2"/>
  <c r="N5" i="2"/>
  <c r="O5" i="2"/>
  <c r="P5" i="2"/>
  <c r="Q5" i="2"/>
  <c r="R5" i="2"/>
  <c r="S5" i="2"/>
  <c r="T5" i="2"/>
  <c r="U5" i="2"/>
  <c r="U4" i="2"/>
  <c r="S4" i="2"/>
  <c r="T4" i="2"/>
  <c r="R4" i="2"/>
  <c r="P4" i="2"/>
  <c r="Q4" i="2"/>
  <c r="N4" i="2"/>
</calcChain>
</file>

<file path=xl/sharedStrings.xml><?xml version="1.0" encoding="utf-8"?>
<sst xmlns="http://schemas.openxmlformats.org/spreadsheetml/2006/main" count="335" uniqueCount="179">
  <si>
    <t>timestamp</t>
  </si>
  <si>
    <t>model_name</t>
  </si>
  <si>
    <t>seed</t>
  </si>
  <si>
    <t>mse</t>
  </si>
  <si>
    <t>mae</t>
  </si>
  <si>
    <t>rmse</t>
  </si>
  <si>
    <t>mape</t>
  </si>
  <si>
    <t>r2_score</t>
  </si>
  <si>
    <t>picp</t>
  </si>
  <si>
    <t>mpiw</t>
  </si>
  <si>
    <t>winkler_score</t>
  </si>
  <si>
    <t>training_time_s</t>
  </si>
  <si>
    <t>testing_time_s</t>
  </si>
  <si>
    <t>hpo_trial_s</t>
  </si>
  <si>
    <t>hpo_time_s</t>
  </si>
  <si>
    <t>gru_mcd_1234</t>
  </si>
  <si>
    <t>gru_mcd_42</t>
  </si>
  <si>
    <t>gru_mcd_73</t>
  </si>
  <si>
    <t>gru_mcd_31415</t>
  </si>
  <si>
    <t>gru_mcd_271828183</t>
  </si>
  <si>
    <t>lstm_mcd_31415</t>
  </si>
  <si>
    <t>lstm_mcd_73</t>
  </si>
  <si>
    <t>lstm_mcd_271828183</t>
  </si>
  <si>
    <t>lstm_mcd_42</t>
  </si>
  <si>
    <t>lstm_mcd_1234</t>
  </si>
  <si>
    <t>transformer_mcd_1234</t>
  </si>
  <si>
    <t>transformer_mcd_31415</t>
  </si>
  <si>
    <t>transformer_mcd_73</t>
  </si>
  <si>
    <t>transformer_mcd_42</t>
  </si>
  <si>
    <t>transformer_mcd_271828183</t>
  </si>
  <si>
    <t>tcn_mcd_73</t>
  </si>
  <si>
    <t>tcn_mcd_42</t>
  </si>
  <si>
    <t>tcn_mcd_31415</t>
  </si>
  <si>
    <t>tcn_mcd_1234</t>
  </si>
  <si>
    <t>tcn_mcd_271828183</t>
  </si>
  <si>
    <t>gru_hllla_31415</t>
  </si>
  <si>
    <t>gru_hllla_73</t>
  </si>
  <si>
    <t>gru_hllla_42</t>
  </si>
  <si>
    <t>gru_hllla_1234</t>
  </si>
  <si>
    <t>gru_hllla_271828183</t>
  </si>
  <si>
    <t>lstm_hllla_1234</t>
  </si>
  <si>
    <t>lstm_hllla_271828183</t>
  </si>
  <si>
    <t>lstm_hllla_42</t>
  </si>
  <si>
    <t>lstm_hllla_31415</t>
  </si>
  <si>
    <t>lstm_hllla_73</t>
  </si>
  <si>
    <t>tcn_hllla_271828183</t>
  </si>
  <si>
    <t>tcn_hllla_42</t>
  </si>
  <si>
    <t>tcn_hllla_31415</t>
  </si>
  <si>
    <t>tcn_hllla_73</t>
  </si>
  <si>
    <t>tcn_hllla_1234</t>
  </si>
  <si>
    <t>transformer_hllla_42</t>
  </si>
  <si>
    <t>transformer_hllla_73</t>
  </si>
  <si>
    <t>transformer_hllla_1234</t>
  </si>
  <si>
    <t>transformer_hllla_31415</t>
  </si>
  <si>
    <t>transformer_hllla_271828183</t>
  </si>
  <si>
    <t>gru_cqr_42</t>
  </si>
  <si>
    <t>gru_cqr_73</t>
  </si>
  <si>
    <t>gru_cqr_31415</t>
  </si>
  <si>
    <t>gru_cqr_1234</t>
  </si>
  <si>
    <t>gru_cqr_271828183</t>
  </si>
  <si>
    <t>lstm_cqr_42</t>
  </si>
  <si>
    <t>lstm_cqr_73</t>
  </si>
  <si>
    <t>lstm_cqr_271828183</t>
  </si>
  <si>
    <t>lstm_cqr_31415</t>
  </si>
  <si>
    <t>lstm_cqr_1234</t>
  </si>
  <si>
    <t>tcn_cqr_42</t>
  </si>
  <si>
    <t>tcn_cqr_73</t>
  </si>
  <si>
    <t>tcn_cqr_31415</t>
  </si>
  <si>
    <t>tcn_cqr_1234</t>
  </si>
  <si>
    <t>tcn_cqr_271828183</t>
  </si>
  <si>
    <t>transformer_cqr_42</t>
  </si>
  <si>
    <t>transformer_cqr_73</t>
  </si>
  <si>
    <t>transformer_cqr_271828183</t>
  </si>
  <si>
    <t>transformer_cqr_1234</t>
  </si>
  <si>
    <t>transformer_cqr_31415</t>
  </si>
  <si>
    <t>gru</t>
  </si>
  <si>
    <t>lstm</t>
  </si>
  <si>
    <t>tcn</t>
  </si>
  <si>
    <t>transformer</t>
  </si>
  <si>
    <t>MCD</t>
  </si>
  <si>
    <t>HLLLA</t>
  </si>
  <si>
    <t>CQR</t>
  </si>
  <si>
    <t>16987.1358 ± 10664.4849</t>
  </si>
  <si>
    <t>106.7152 ± 42.1618</t>
  </si>
  <si>
    <t>125.4198 ± 39.6391</t>
  </si>
  <si>
    <t>0.0149 ± 0.0059</t>
  </si>
  <si>
    <t>0.8470 ± 0.0965</t>
  </si>
  <si>
    <t>0.5789 ± 0.3347</t>
  </si>
  <si>
    <t>255.1568 ± 79.0154</t>
  </si>
  <si>
    <t>1377.3213 ± 968.6519</t>
  </si>
  <si>
    <t>24590.5004 ± 10543.0299</t>
  </si>
  <si>
    <t>132.1290 ± 32.2292</t>
  </si>
  <si>
    <t>153.9467 ± 33.3714</t>
  </si>
  <si>
    <t>0.0184 ± 0.0045</t>
  </si>
  <si>
    <t>0.7808 ± 0.0942</t>
  </si>
  <si>
    <t>0.6964 ± 0.1235</t>
  </si>
  <si>
    <t>334.9358 ± 49.4232</t>
  </si>
  <si>
    <t>1054.8417 ± 473.8492</t>
  </si>
  <si>
    <t>5132.7004 ± 1507.1207</t>
  </si>
  <si>
    <t>53.4570 ± 13.4913</t>
  </si>
  <si>
    <t>70.9943 ± 10.7538</t>
  </si>
  <si>
    <t>0.0076 ± 0.0019</t>
  </si>
  <si>
    <t>0.9538 ± 0.0136</t>
  </si>
  <si>
    <t>0.6408 ± 0.3412</t>
  </si>
  <si>
    <t>134.2228 ± 74.1932</t>
  </si>
  <si>
    <t>868.5952 ± 715.1093</t>
  </si>
  <si>
    <t>166259.0760 ± 64587.1437</t>
  </si>
  <si>
    <t>371.9853 ± 75.7340</t>
  </si>
  <si>
    <t>401.9187 ± 76.8153</t>
  </si>
  <si>
    <t>0.0517 ± 0.0106</t>
  </si>
  <si>
    <t>-0.4931 ± 0.5943</t>
  </si>
  <si>
    <t>0.1202 ± 0.1493</t>
  </si>
  <si>
    <t>313.5035 ± 118.4156</t>
  </si>
  <si>
    <t>8835.3523 ± 3703.1387</t>
  </si>
  <si>
    <t>20970.9758 ± 11934.7270</t>
  </si>
  <si>
    <t>122.0151 ± 34.9639</t>
  </si>
  <si>
    <t>140.7091 ± 38.2742</t>
  </si>
  <si>
    <t>0.0170 ± 0.0048</t>
  </si>
  <si>
    <t>0.8129 ± 0.1053</t>
  </si>
  <si>
    <t>0.3725 ± 0.0823</t>
  </si>
  <si>
    <t>176.4126 ± 44.6299</t>
  </si>
  <si>
    <t>2112.9195 ± 735.1905</t>
  </si>
  <si>
    <t>26916.3171 ± 13649.0225</t>
  </si>
  <si>
    <t>141.7851 ± 46.2292</t>
  </si>
  <si>
    <t>158.9402 ± 45.4741</t>
  </si>
  <si>
    <t>0.0197 ± 0.0064</t>
  </si>
  <si>
    <t>0.7591 ± 0.1225</t>
  </si>
  <si>
    <t>0.3158 ± 0.2422</t>
  </si>
  <si>
    <t>183.1107 ± 14.5653</t>
  </si>
  <si>
    <t>2688.3771 ± 1443.3449</t>
  </si>
  <si>
    <t>4293067.6337 ± 8206066.7116</t>
  </si>
  <si>
    <t>1382.6094 ± 1694.0866</t>
  </si>
  <si>
    <t>1423.0160 ± 1683.7804</t>
  </si>
  <si>
    <t>0.1943 ± 0.2400</t>
  </si>
  <si>
    <t>-37.5575 ± 73.7745</t>
  </si>
  <si>
    <t>0.7591 ± 0.3036</t>
  </si>
  <si>
    <t>799867.9411 ± 1784663.5476</t>
  </si>
  <si>
    <t>803154.5407 ± 1782834.9366</t>
  </si>
  <si>
    <t>158421.2042 ± 77148.8203</t>
  </si>
  <si>
    <t>351.3079 ± 106.5407</t>
  </si>
  <si>
    <t>386.5113 ± 106.2440</t>
  </si>
  <si>
    <t>0.0487 ± 0.0148</t>
  </si>
  <si>
    <t>-0.4203 ± 0.6979</t>
  </si>
  <si>
    <t>0.1757 ± 0.1432</t>
  </si>
  <si>
    <t>348.1350 ± 212.9988</t>
  </si>
  <si>
    <t>7968.1180 ± 3665.3259</t>
  </si>
  <si>
    <t>17624.8635 ± 8420.8732</t>
  </si>
  <si>
    <t>113.0972 ± 28.2871</t>
  </si>
  <si>
    <t>130.1536 ± 29.2597</t>
  </si>
  <si>
    <t>0.0158 ± 0.0039</t>
  </si>
  <si>
    <t>0.8412 ± 0.0774</t>
  </si>
  <si>
    <t>0.5108 ± 0.1241</t>
  </si>
  <si>
    <t>212.0210 ± 71.3285</t>
  </si>
  <si>
    <t>1467.7639 ± 508.4409</t>
  </si>
  <si>
    <t>30363.9933 ± 12954.9207</t>
  </si>
  <si>
    <t>146.5755 ± 36.3852</t>
  </si>
  <si>
    <t>170.5856 ± 39.7577</t>
  </si>
  <si>
    <t>0.0203 ± 0.0050</t>
  </si>
  <si>
    <t>0.7293 ± 0.1155</t>
  </si>
  <si>
    <t>0.5323 ± 0.1189</t>
  </si>
  <si>
    <t>253.6476 ± 46.0723</t>
  </si>
  <si>
    <t>1700.3479 ± 593.7452</t>
  </si>
  <si>
    <t>19927.8963 ± 7823.4772</t>
  </si>
  <si>
    <t>114.9288 ± 30.4645</t>
  </si>
  <si>
    <t>138.8203 ± 28.6534</t>
  </si>
  <si>
    <t>0.0159 ± 0.0043</t>
  </si>
  <si>
    <t>0.8205 ± 0.0712</t>
  </si>
  <si>
    <t>0.5523 ± 0.1775</t>
  </si>
  <si>
    <t>244.2732 ± 77.8371</t>
  </si>
  <si>
    <t>1454.6235 ± 736.8881</t>
  </si>
  <si>
    <t>142709.0804 ± 64946.3868</t>
  </si>
  <si>
    <t>329.5306 ± 84.2030</t>
  </si>
  <si>
    <t>370.1972 ± 84.1363</t>
  </si>
  <si>
    <t>0.0456 ± 0.0117</t>
  </si>
  <si>
    <t>-0.2824 ± 0.5959</t>
  </si>
  <si>
    <t>0.2698 ± 0.0946</t>
  </si>
  <si>
    <t>413.5877 ± 24.7509</t>
  </si>
  <si>
    <t>6549.5880 ± 2321.2209</t>
  </si>
  <si>
    <t>Coefficient of Variation (CV = σ/μ)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</si>
</sst>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65" fontId="0" fillId="0" borderId="0" xfId="0" applyNumberFormat="1"/>
    <xf numFmtId="0" fontId="18" fillId="0" borderId="0" xfId="0" applyFont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DCB1-0E04-4775-8507-35AAC4988FE9}">
  <dimension ref="A1:O61"/>
  <sheetViews>
    <sheetView topLeftCell="A30" workbookViewId="0">
      <selection sqref="A1:O61"/>
    </sheetView>
  </sheetViews>
  <sheetFormatPr defaultRowHeight="14.4" x14ac:dyDescent="0.3"/>
  <cols>
    <col min="1" max="1" width="15.5546875" bestFit="1" customWidth="1"/>
    <col min="2" max="2" width="26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45989.518055555556</v>
      </c>
      <c r="B2" t="s">
        <v>15</v>
      </c>
      <c r="C2">
        <v>1234</v>
      </c>
      <c r="D2">
        <v>8655.2484129999993</v>
      </c>
      <c r="E2">
        <v>74.575490369999997</v>
      </c>
      <c r="F2">
        <v>93.033587549999993</v>
      </c>
      <c r="G2">
        <v>1.0396766E-2</v>
      </c>
      <c r="H2">
        <v>0.92321472900000001</v>
      </c>
      <c r="I2">
        <v>0.87142857100000004</v>
      </c>
      <c r="J2">
        <v>280.53203289999999</v>
      </c>
      <c r="K2">
        <v>468.71657329999999</v>
      </c>
      <c r="L2">
        <v>213.1611</v>
      </c>
      <c r="M2">
        <v>111.54900000000001</v>
      </c>
      <c r="N2">
        <v>50</v>
      </c>
      <c r="O2">
        <v>5341.3941999999997</v>
      </c>
    </row>
    <row r="3" spans="1:15" x14ac:dyDescent="0.3">
      <c r="A3" s="1">
        <v>45989.526388888888</v>
      </c>
      <c r="B3" t="s">
        <v>16</v>
      </c>
      <c r="C3">
        <v>42</v>
      </c>
      <c r="D3">
        <v>32046.011559999999</v>
      </c>
      <c r="E3">
        <v>164.02154540000001</v>
      </c>
      <c r="F3">
        <v>179.0139982</v>
      </c>
      <c r="G3">
        <v>2.2891227E-2</v>
      </c>
      <c r="H3">
        <v>0.71195456000000001</v>
      </c>
      <c r="I3">
        <v>0.2578125</v>
      </c>
      <c r="J3">
        <v>261.56646000000001</v>
      </c>
      <c r="K3">
        <v>2312.6788649999999</v>
      </c>
      <c r="L3">
        <v>337.19639999999998</v>
      </c>
      <c r="M3">
        <v>196.63980000000001</v>
      </c>
      <c r="N3">
        <v>50</v>
      </c>
      <c r="O3">
        <v>5922.3675999999996</v>
      </c>
    </row>
    <row r="4" spans="1:15" x14ac:dyDescent="0.3">
      <c r="A4" s="1">
        <v>45989.52847222222</v>
      </c>
      <c r="B4" t="s">
        <v>17</v>
      </c>
      <c r="C4">
        <v>73</v>
      </c>
      <c r="D4">
        <v>24486.60095</v>
      </c>
      <c r="E4">
        <v>139.60827599999999</v>
      </c>
      <c r="F4">
        <v>156.48195089999999</v>
      </c>
      <c r="G4">
        <v>1.9509573999999998E-2</v>
      </c>
      <c r="H4">
        <v>0.77734454399999997</v>
      </c>
      <c r="I4">
        <v>0.23880597000000001</v>
      </c>
      <c r="J4">
        <v>194.03883980000001</v>
      </c>
      <c r="K4">
        <v>2445.9013129999998</v>
      </c>
      <c r="L4">
        <v>316.72539999999998</v>
      </c>
      <c r="M4">
        <v>115.1746</v>
      </c>
      <c r="N4">
        <v>50</v>
      </c>
      <c r="O4">
        <v>6201.0875999999998</v>
      </c>
    </row>
    <row r="5" spans="1:15" x14ac:dyDescent="0.3">
      <c r="A5" s="1">
        <v>45989.542361111111</v>
      </c>
      <c r="B5" t="s">
        <v>18</v>
      </c>
      <c r="C5">
        <v>31415</v>
      </c>
      <c r="D5">
        <v>10679.1708</v>
      </c>
      <c r="E5">
        <v>81.296803269999998</v>
      </c>
      <c r="F5">
        <v>103.3400735</v>
      </c>
      <c r="G5">
        <v>1.1271246E-2</v>
      </c>
      <c r="H5">
        <v>0.90401031799999998</v>
      </c>
      <c r="I5">
        <v>0.56874999999999998</v>
      </c>
      <c r="J5">
        <v>169.51608590000001</v>
      </c>
      <c r="K5">
        <v>1223.95767</v>
      </c>
      <c r="L5">
        <v>289.7484</v>
      </c>
      <c r="M5">
        <v>194.52950000000001</v>
      </c>
      <c r="N5">
        <v>50</v>
      </c>
      <c r="O5">
        <v>7280.2478000000001</v>
      </c>
    </row>
    <row r="6" spans="1:15" x14ac:dyDescent="0.3">
      <c r="A6" s="1">
        <v>45989.671527777777</v>
      </c>
      <c r="B6" t="s">
        <v>19</v>
      </c>
      <c r="C6">
        <v>271828183</v>
      </c>
      <c r="D6">
        <v>9068.6471870000005</v>
      </c>
      <c r="E6">
        <v>74.073960869999993</v>
      </c>
      <c r="F6">
        <v>95.229444959999995</v>
      </c>
      <c r="G6">
        <v>1.031457E-2</v>
      </c>
      <c r="H6">
        <v>0.91848650300000001</v>
      </c>
      <c r="I6">
        <v>0.95781249999999996</v>
      </c>
      <c r="J6">
        <v>370.13071600000001</v>
      </c>
      <c r="K6">
        <v>435.35209350000002</v>
      </c>
      <c r="L6">
        <v>210.7422</v>
      </c>
      <c r="M6">
        <v>213.4966</v>
      </c>
      <c r="N6">
        <v>50</v>
      </c>
      <c r="O6">
        <v>2909.4047999999998</v>
      </c>
    </row>
    <row r="7" spans="1:15" x14ac:dyDescent="0.3">
      <c r="A7" s="1">
        <v>45989.726388888892</v>
      </c>
      <c r="B7" t="s">
        <v>20</v>
      </c>
      <c r="C7">
        <v>31415</v>
      </c>
      <c r="D7">
        <v>36711.99437</v>
      </c>
      <c r="E7">
        <v>167.12265049999999</v>
      </c>
      <c r="F7">
        <v>191.6037431</v>
      </c>
      <c r="G7">
        <v>2.3194795000000001E-2</v>
      </c>
      <c r="H7">
        <v>0.67074389000000001</v>
      </c>
      <c r="I7">
        <v>0.68759124100000002</v>
      </c>
      <c r="J7">
        <v>420.59419559999998</v>
      </c>
      <c r="K7">
        <v>1107.323028</v>
      </c>
      <c r="L7">
        <v>131.8058</v>
      </c>
      <c r="M7">
        <v>72.740099999999998</v>
      </c>
      <c r="N7">
        <v>50</v>
      </c>
      <c r="O7">
        <v>4103.2358000000004</v>
      </c>
    </row>
    <row r="8" spans="1:15" x14ac:dyDescent="0.3">
      <c r="A8" s="1">
        <v>45989.730555555558</v>
      </c>
      <c r="B8" t="s">
        <v>21</v>
      </c>
      <c r="C8">
        <v>73</v>
      </c>
      <c r="D8">
        <v>35071.249770000002</v>
      </c>
      <c r="E8">
        <v>165.729488</v>
      </c>
      <c r="F8">
        <v>187.27319550000001</v>
      </c>
      <c r="G8">
        <v>2.3140694999999999E-2</v>
      </c>
      <c r="H8">
        <v>0.68886445600000001</v>
      </c>
      <c r="I8">
        <v>0.49142857099999998</v>
      </c>
      <c r="J8">
        <v>319.11320690000002</v>
      </c>
      <c r="K8">
        <v>1850.4088919999999</v>
      </c>
      <c r="L8">
        <v>67.134699999999995</v>
      </c>
      <c r="M8">
        <v>39.109499999999997</v>
      </c>
      <c r="N8">
        <v>50</v>
      </c>
      <c r="O8">
        <v>4619.7876999999999</v>
      </c>
    </row>
    <row r="9" spans="1:15" x14ac:dyDescent="0.3">
      <c r="A9" s="1">
        <v>45989.731249999997</v>
      </c>
      <c r="B9" t="s">
        <v>22</v>
      </c>
      <c r="C9">
        <v>271828183</v>
      </c>
      <c r="D9">
        <v>20477.686140000002</v>
      </c>
      <c r="E9">
        <v>121.6539313</v>
      </c>
      <c r="F9">
        <v>143.100266</v>
      </c>
      <c r="G9">
        <v>1.6952655000000001E-2</v>
      </c>
      <c r="H9">
        <v>0.81833165200000002</v>
      </c>
      <c r="I9">
        <v>0.72428571399999997</v>
      </c>
      <c r="J9">
        <v>329.51880849999998</v>
      </c>
      <c r="K9">
        <v>876.51115900000002</v>
      </c>
      <c r="L9">
        <v>87.380300000000005</v>
      </c>
      <c r="M9">
        <v>36.542099999999998</v>
      </c>
      <c r="N9">
        <v>50</v>
      </c>
      <c r="O9">
        <v>4618.2812999999996</v>
      </c>
    </row>
    <row r="10" spans="1:15" x14ac:dyDescent="0.3">
      <c r="A10" s="1">
        <v>45989.734027777777</v>
      </c>
      <c r="B10" t="s">
        <v>23</v>
      </c>
      <c r="C10">
        <v>42</v>
      </c>
      <c r="D10">
        <v>15330.657440000001</v>
      </c>
      <c r="E10">
        <v>104.2319978</v>
      </c>
      <c r="F10">
        <v>123.81703210000001</v>
      </c>
      <c r="G10">
        <v>1.4526066000000001E-2</v>
      </c>
      <c r="H10">
        <v>0.863993656</v>
      </c>
      <c r="I10">
        <v>0.81</v>
      </c>
      <c r="J10">
        <v>308.99765619999999</v>
      </c>
      <c r="K10">
        <v>663.46780969999998</v>
      </c>
      <c r="L10">
        <v>55.528100000000002</v>
      </c>
      <c r="M10">
        <v>51.496400000000001</v>
      </c>
      <c r="N10">
        <v>50</v>
      </c>
      <c r="O10">
        <v>4915.4418999999998</v>
      </c>
    </row>
    <row r="11" spans="1:15" x14ac:dyDescent="0.3">
      <c r="A11" s="1">
        <v>45989.754861111112</v>
      </c>
      <c r="B11" t="s">
        <v>24</v>
      </c>
      <c r="C11">
        <v>1234</v>
      </c>
      <c r="D11">
        <v>15360.91423</v>
      </c>
      <c r="E11">
        <v>101.90689999999999</v>
      </c>
      <c r="F11">
        <v>123.9391554</v>
      </c>
      <c r="G11">
        <v>1.4130233000000001E-2</v>
      </c>
      <c r="H11">
        <v>0.86192848700000002</v>
      </c>
      <c r="I11">
        <v>0.76875000000000004</v>
      </c>
      <c r="J11">
        <v>296.4551606</v>
      </c>
      <c r="K11">
        <v>776.49753420000002</v>
      </c>
      <c r="L11">
        <v>231.4211</v>
      </c>
      <c r="M11">
        <v>164.7953</v>
      </c>
      <c r="N11">
        <v>50</v>
      </c>
      <c r="O11">
        <v>6404.2434000000003</v>
      </c>
    </row>
    <row r="12" spans="1:15" x14ac:dyDescent="0.3">
      <c r="A12" s="1">
        <v>45990.125</v>
      </c>
      <c r="B12" t="s">
        <v>25</v>
      </c>
      <c r="C12">
        <v>1234</v>
      </c>
      <c r="D12">
        <v>122719.1173</v>
      </c>
      <c r="E12">
        <v>321.00499509999997</v>
      </c>
      <c r="F12">
        <v>350.31288480000001</v>
      </c>
      <c r="G12">
        <v>4.4793993999999997E-2</v>
      </c>
      <c r="H12">
        <v>-8.8705980000000004E-2</v>
      </c>
      <c r="I12">
        <v>1.5714286000000001E-2</v>
      </c>
      <c r="J12">
        <v>138.55761899999999</v>
      </c>
      <c r="K12">
        <v>10189.19246</v>
      </c>
      <c r="L12">
        <v>66.477199999999996</v>
      </c>
      <c r="M12">
        <v>62.617800000000003</v>
      </c>
      <c r="N12">
        <v>50</v>
      </c>
      <c r="O12">
        <v>4687.4841999999999</v>
      </c>
    </row>
    <row r="13" spans="1:15" x14ac:dyDescent="0.3">
      <c r="A13" s="1">
        <v>45990.195138888892</v>
      </c>
      <c r="B13" t="s">
        <v>26</v>
      </c>
      <c r="C13">
        <v>31415</v>
      </c>
      <c r="D13">
        <v>259719.88070000001</v>
      </c>
      <c r="E13">
        <v>475.93252460000002</v>
      </c>
      <c r="F13">
        <v>509.62719770000001</v>
      </c>
      <c r="G13">
        <v>6.6225368000000007E-2</v>
      </c>
      <c r="H13">
        <v>-1.361620074</v>
      </c>
      <c r="I13">
        <v>1.9402985000000001E-2</v>
      </c>
      <c r="J13">
        <v>326.81847490000001</v>
      </c>
      <c r="K13">
        <v>12516.124299999999</v>
      </c>
      <c r="L13">
        <v>365.42219999999998</v>
      </c>
      <c r="M13">
        <v>630.90430000000003</v>
      </c>
      <c r="N13">
        <v>50</v>
      </c>
      <c r="O13">
        <v>4528.5216</v>
      </c>
    </row>
    <row r="14" spans="1:15" x14ac:dyDescent="0.3">
      <c r="A14" s="1">
        <v>45990.306250000001</v>
      </c>
      <c r="B14" t="s">
        <v>27</v>
      </c>
      <c r="C14">
        <v>73</v>
      </c>
      <c r="D14">
        <v>207221.6759</v>
      </c>
      <c r="E14">
        <v>428.45825159999998</v>
      </c>
      <c r="F14">
        <v>455.21607610000001</v>
      </c>
      <c r="G14">
        <v>5.9673775999999998E-2</v>
      </c>
      <c r="H14">
        <v>-0.85849349900000005</v>
      </c>
      <c r="I14">
        <v>1.7518248E-2</v>
      </c>
      <c r="J14">
        <v>279.6906907</v>
      </c>
      <c r="K14">
        <v>11488.93223</v>
      </c>
      <c r="L14">
        <v>84.244500000000002</v>
      </c>
      <c r="M14">
        <v>142.02789999999999</v>
      </c>
      <c r="N14">
        <v>50</v>
      </c>
      <c r="O14">
        <v>4567.9134999999997</v>
      </c>
    </row>
    <row r="15" spans="1:15" x14ac:dyDescent="0.3">
      <c r="A15" s="1">
        <v>45990.582638888889</v>
      </c>
      <c r="B15" t="s">
        <v>28</v>
      </c>
      <c r="C15">
        <v>42</v>
      </c>
      <c r="D15">
        <v>109692.7957</v>
      </c>
      <c r="E15">
        <v>303.83358459999999</v>
      </c>
      <c r="F15">
        <v>331.19902730000001</v>
      </c>
      <c r="G15">
        <v>4.2071630999999998E-2</v>
      </c>
      <c r="H15">
        <v>1.4026769E-2</v>
      </c>
      <c r="I15">
        <v>0.34531250000000002</v>
      </c>
      <c r="J15">
        <v>461.54038150000002</v>
      </c>
      <c r="K15">
        <v>3792.0183270000002</v>
      </c>
      <c r="L15">
        <v>41.885899999999999</v>
      </c>
      <c r="M15">
        <v>166.01589999999999</v>
      </c>
      <c r="N15">
        <v>50</v>
      </c>
      <c r="O15">
        <v>3445.848</v>
      </c>
    </row>
    <row r="16" spans="1:15" x14ac:dyDescent="0.3">
      <c r="A16" s="1">
        <v>45990.654166666667</v>
      </c>
      <c r="B16" t="s">
        <v>29</v>
      </c>
      <c r="C16">
        <v>271828183</v>
      </c>
      <c r="D16">
        <v>131941.91039999999</v>
      </c>
      <c r="E16">
        <v>330.69715960000002</v>
      </c>
      <c r="F16">
        <v>363.2380905</v>
      </c>
      <c r="G16">
        <v>4.5974018999999998E-2</v>
      </c>
      <c r="H16">
        <v>-0.170526239</v>
      </c>
      <c r="I16">
        <v>0.20285714299999999</v>
      </c>
      <c r="J16">
        <v>360.91036910000003</v>
      </c>
      <c r="K16">
        <v>6190.4940189999998</v>
      </c>
      <c r="L16">
        <v>238.5582</v>
      </c>
      <c r="M16">
        <v>142.75370000000001</v>
      </c>
      <c r="N16">
        <v>50</v>
      </c>
      <c r="O16">
        <v>5246.8098</v>
      </c>
    </row>
    <row r="17" spans="1:15" x14ac:dyDescent="0.3">
      <c r="A17" s="1">
        <v>45990.738888888889</v>
      </c>
      <c r="B17" t="s">
        <v>30</v>
      </c>
      <c r="C17">
        <v>73</v>
      </c>
      <c r="D17">
        <v>6904.1669160000001</v>
      </c>
      <c r="E17">
        <v>68.565690590000003</v>
      </c>
      <c r="F17">
        <v>83.091316730000003</v>
      </c>
      <c r="G17">
        <v>9.6479679999999998E-3</v>
      </c>
      <c r="H17">
        <v>0.93722075100000002</v>
      </c>
      <c r="I17">
        <v>0.72089552199999996</v>
      </c>
      <c r="J17">
        <v>176.1538559</v>
      </c>
      <c r="K17">
        <v>631.35226780000005</v>
      </c>
      <c r="L17">
        <v>277.20580000000001</v>
      </c>
      <c r="M17">
        <v>202.08099999999999</v>
      </c>
      <c r="N17">
        <v>50</v>
      </c>
      <c r="O17">
        <v>6342.0281999999997</v>
      </c>
    </row>
    <row r="18" spans="1:15" x14ac:dyDescent="0.3">
      <c r="A18" s="1">
        <v>45990.745138888888</v>
      </c>
      <c r="B18" t="s">
        <v>31</v>
      </c>
      <c r="C18">
        <v>42</v>
      </c>
      <c r="D18">
        <v>5872.0253480000001</v>
      </c>
      <c r="E18">
        <v>63.866966390000002</v>
      </c>
      <c r="F18">
        <v>76.62914164</v>
      </c>
      <c r="G18">
        <v>9.0363460000000007E-3</v>
      </c>
      <c r="H18">
        <v>0.94790616800000005</v>
      </c>
      <c r="I18">
        <v>8.1428571000000005E-2</v>
      </c>
      <c r="J18">
        <v>25.207538920000001</v>
      </c>
      <c r="K18">
        <v>2092.6598090000002</v>
      </c>
      <c r="L18">
        <v>132.9171</v>
      </c>
      <c r="M18">
        <v>106.8032</v>
      </c>
      <c r="N18">
        <v>50</v>
      </c>
      <c r="O18">
        <v>7122.3085000000001</v>
      </c>
    </row>
    <row r="19" spans="1:15" x14ac:dyDescent="0.3">
      <c r="A19" s="1">
        <v>45990.837500000001</v>
      </c>
      <c r="B19" t="s">
        <v>32</v>
      </c>
      <c r="C19">
        <v>31415</v>
      </c>
      <c r="D19">
        <v>3638.6363419999998</v>
      </c>
      <c r="E19">
        <v>39.89827571</v>
      </c>
      <c r="F19">
        <v>60.321110249999997</v>
      </c>
      <c r="G19">
        <v>5.7318229999999996E-3</v>
      </c>
      <c r="H19">
        <v>0.96736643499999997</v>
      </c>
      <c r="I19">
        <v>0.86569343099999996</v>
      </c>
      <c r="J19">
        <v>154.97503750000001</v>
      </c>
      <c r="K19">
        <v>404.96439620000001</v>
      </c>
      <c r="L19">
        <v>223.98679999999999</v>
      </c>
      <c r="M19">
        <v>227.62569999999999</v>
      </c>
      <c r="N19">
        <v>50</v>
      </c>
      <c r="O19">
        <v>7448.6361999999999</v>
      </c>
    </row>
    <row r="20" spans="1:15" x14ac:dyDescent="0.3">
      <c r="A20" s="1">
        <v>45990.857638888891</v>
      </c>
      <c r="B20" t="s">
        <v>33</v>
      </c>
      <c r="C20">
        <v>1234</v>
      </c>
      <c r="D20">
        <v>3472.8462220000001</v>
      </c>
      <c r="E20">
        <v>39.229073890000002</v>
      </c>
      <c r="F20">
        <v>58.930859679999998</v>
      </c>
      <c r="G20">
        <v>5.613659E-3</v>
      </c>
      <c r="H20">
        <v>0.96842158</v>
      </c>
      <c r="I20">
        <v>0.94626865699999996</v>
      </c>
      <c r="J20">
        <v>216.0062824</v>
      </c>
      <c r="K20">
        <v>343.28709750000002</v>
      </c>
      <c r="L20">
        <v>161.3073</v>
      </c>
      <c r="M20">
        <v>287.47000000000003</v>
      </c>
      <c r="N20">
        <v>50</v>
      </c>
      <c r="O20">
        <v>9245.3552</v>
      </c>
    </row>
    <row r="21" spans="1:15" x14ac:dyDescent="0.3">
      <c r="A21" s="1">
        <v>45990.95208333333</v>
      </c>
      <c r="B21" t="s">
        <v>34</v>
      </c>
      <c r="C21">
        <v>271828183</v>
      </c>
      <c r="D21">
        <v>5775.827413</v>
      </c>
      <c r="E21">
        <v>55.725106949999997</v>
      </c>
      <c r="F21">
        <v>75.998864549999993</v>
      </c>
      <c r="G21">
        <v>7.979982E-3</v>
      </c>
      <c r="H21">
        <v>0.94819876999999997</v>
      </c>
      <c r="I21">
        <v>0.58978102200000004</v>
      </c>
      <c r="J21">
        <v>98.771368170000002</v>
      </c>
      <c r="K21">
        <v>870.712264</v>
      </c>
      <c r="L21">
        <v>97.283199999999994</v>
      </c>
      <c r="M21">
        <v>113.39019999999999</v>
      </c>
      <c r="N21">
        <v>50</v>
      </c>
      <c r="O21">
        <v>3132.6866</v>
      </c>
    </row>
    <row r="22" spans="1:15" x14ac:dyDescent="0.3">
      <c r="A22" s="1">
        <v>45991.01458333333</v>
      </c>
      <c r="B22" t="s">
        <v>35</v>
      </c>
      <c r="C22">
        <v>31415</v>
      </c>
      <c r="D22">
        <v>40990.277889999998</v>
      </c>
      <c r="E22">
        <v>177.08985419999999</v>
      </c>
      <c r="F22">
        <v>202.4605589</v>
      </c>
      <c r="G22">
        <v>2.4598357000000001E-2</v>
      </c>
      <c r="H22">
        <v>0.63635363700000003</v>
      </c>
      <c r="I22">
        <v>0.35139999999999999</v>
      </c>
      <c r="J22">
        <v>249.077</v>
      </c>
      <c r="K22">
        <v>3127.7898</v>
      </c>
      <c r="L22">
        <v>35.604700000000001</v>
      </c>
      <c r="M22">
        <v>0.32550000000000001</v>
      </c>
      <c r="N22">
        <v>50</v>
      </c>
      <c r="O22">
        <v>2980.8534</v>
      </c>
    </row>
    <row r="23" spans="1:15" x14ac:dyDescent="0.3">
      <c r="A23" s="1">
        <v>45991.020833333336</v>
      </c>
      <c r="B23" t="s">
        <v>36</v>
      </c>
      <c r="C23">
        <v>73</v>
      </c>
      <c r="D23">
        <v>11671.88661</v>
      </c>
      <c r="E23">
        <v>91.681583399999994</v>
      </c>
      <c r="F23">
        <v>108.03650589999999</v>
      </c>
      <c r="G23">
        <v>1.2823777E-2</v>
      </c>
      <c r="H23">
        <v>0.89508729600000003</v>
      </c>
      <c r="I23">
        <v>0.48130000000000001</v>
      </c>
      <c r="J23">
        <v>169.21420000000001</v>
      </c>
      <c r="K23">
        <v>1241.8756000000001</v>
      </c>
      <c r="L23">
        <v>202.11150000000001</v>
      </c>
      <c r="M23">
        <v>0.97250000000000003</v>
      </c>
      <c r="N23">
        <v>50</v>
      </c>
      <c r="O23">
        <v>3634.5405000000001</v>
      </c>
    </row>
    <row r="24" spans="1:15" x14ac:dyDescent="0.3">
      <c r="A24" s="1">
        <v>45991.040277777778</v>
      </c>
      <c r="B24" t="s">
        <v>37</v>
      </c>
      <c r="C24">
        <v>42</v>
      </c>
      <c r="D24">
        <v>12007.18879</v>
      </c>
      <c r="E24">
        <v>91.669695279999999</v>
      </c>
      <c r="F24">
        <v>109.5773188</v>
      </c>
      <c r="G24">
        <v>1.2737996999999999E-2</v>
      </c>
      <c r="H24">
        <v>0.89207343400000005</v>
      </c>
      <c r="I24">
        <v>0.39219999999999999</v>
      </c>
      <c r="J24">
        <v>134.6713</v>
      </c>
      <c r="K24">
        <v>1620.2843</v>
      </c>
      <c r="L24">
        <v>311.19869999999997</v>
      </c>
      <c r="M24">
        <v>0.6512</v>
      </c>
      <c r="N24">
        <v>50</v>
      </c>
      <c r="O24">
        <v>4919.0465000000004</v>
      </c>
    </row>
    <row r="25" spans="1:15" x14ac:dyDescent="0.3">
      <c r="A25" s="1">
        <v>45991.054861111108</v>
      </c>
      <c r="B25" t="s">
        <v>38</v>
      </c>
      <c r="C25">
        <v>1234</v>
      </c>
      <c r="D25">
        <v>20646.53558</v>
      </c>
      <c r="E25">
        <v>124.8532031</v>
      </c>
      <c r="F25">
        <v>143.6890239</v>
      </c>
      <c r="G25">
        <v>1.7388846999999999E-2</v>
      </c>
      <c r="H25">
        <v>0.81683369900000002</v>
      </c>
      <c r="I25">
        <v>0.38429999999999997</v>
      </c>
      <c r="J25">
        <v>182.0378</v>
      </c>
      <c r="K25">
        <v>2100.4845999999998</v>
      </c>
      <c r="L25">
        <v>83.797499999999999</v>
      </c>
      <c r="M25">
        <v>0.33200000000000002</v>
      </c>
      <c r="N25">
        <v>50</v>
      </c>
      <c r="O25">
        <v>3080.7325000000001</v>
      </c>
    </row>
    <row r="26" spans="1:15" x14ac:dyDescent="0.3">
      <c r="A26" s="1">
        <v>45991.073611111111</v>
      </c>
      <c r="B26" t="s">
        <v>39</v>
      </c>
      <c r="C26">
        <v>271828183</v>
      </c>
      <c r="D26">
        <v>19538.990119999999</v>
      </c>
      <c r="E26">
        <v>124.7812576</v>
      </c>
      <c r="F26">
        <v>139.78193780000001</v>
      </c>
      <c r="G26">
        <v>1.7397492000000001E-2</v>
      </c>
      <c r="H26">
        <v>0.82437386999999995</v>
      </c>
      <c r="I26">
        <v>0.25309999999999999</v>
      </c>
      <c r="J26">
        <v>147.06270000000001</v>
      </c>
      <c r="K26">
        <v>2474.163</v>
      </c>
      <c r="L26">
        <v>95.237200000000001</v>
      </c>
      <c r="M26">
        <v>0.52800000000000002</v>
      </c>
      <c r="N26">
        <v>50</v>
      </c>
      <c r="O26">
        <v>4393.0794999999998</v>
      </c>
    </row>
    <row r="27" spans="1:15" x14ac:dyDescent="0.3">
      <c r="A27" s="1">
        <v>45991.116666666669</v>
      </c>
      <c r="B27" t="s">
        <v>40</v>
      </c>
      <c r="C27">
        <v>1234</v>
      </c>
      <c r="D27">
        <v>43469.057099999998</v>
      </c>
      <c r="E27">
        <v>194.0053533</v>
      </c>
      <c r="F27">
        <v>208.49234300000001</v>
      </c>
      <c r="G27">
        <v>2.7049024000000001E-2</v>
      </c>
      <c r="H27">
        <v>0.61014232899999998</v>
      </c>
      <c r="I27">
        <v>6.5699999999999995E-2</v>
      </c>
      <c r="J27">
        <v>179.83500000000001</v>
      </c>
      <c r="K27">
        <v>4433.1788999999999</v>
      </c>
      <c r="L27">
        <v>56.028399999999998</v>
      </c>
      <c r="M27">
        <v>0.49009999999999998</v>
      </c>
      <c r="N27">
        <v>50</v>
      </c>
      <c r="O27">
        <v>3474.6722</v>
      </c>
    </row>
    <row r="28" spans="1:15" x14ac:dyDescent="0.3">
      <c r="A28" s="1">
        <v>45991.121527777781</v>
      </c>
      <c r="B28" t="s">
        <v>41</v>
      </c>
      <c r="C28">
        <v>271828183</v>
      </c>
      <c r="D28">
        <v>8397.316648</v>
      </c>
      <c r="E28">
        <v>72.285043259999995</v>
      </c>
      <c r="F28">
        <v>91.636873850000001</v>
      </c>
      <c r="G28">
        <v>1.0110373000000001E-2</v>
      </c>
      <c r="H28">
        <v>0.92550297699999995</v>
      </c>
      <c r="I28">
        <v>0.6986</v>
      </c>
      <c r="J28">
        <v>175.38550000000001</v>
      </c>
      <c r="K28">
        <v>835.83429999999998</v>
      </c>
      <c r="L28">
        <v>73.343900000000005</v>
      </c>
      <c r="M28">
        <v>0.39460000000000001</v>
      </c>
      <c r="N28">
        <v>50</v>
      </c>
      <c r="O28">
        <v>3888.9213</v>
      </c>
    </row>
    <row r="29" spans="1:15" x14ac:dyDescent="0.3">
      <c r="A29" s="1">
        <v>45991.158333333333</v>
      </c>
      <c r="B29" t="s">
        <v>42</v>
      </c>
      <c r="C29">
        <v>42</v>
      </c>
      <c r="D29">
        <v>19557.964090000001</v>
      </c>
      <c r="E29">
        <v>124.78675079999999</v>
      </c>
      <c r="F29">
        <v>139.8497912</v>
      </c>
      <c r="G29">
        <v>1.7394911999999998E-2</v>
      </c>
      <c r="H29">
        <v>0.82649099100000001</v>
      </c>
      <c r="I29">
        <v>0.38140000000000002</v>
      </c>
      <c r="J29">
        <v>195.58109999999999</v>
      </c>
      <c r="K29">
        <v>1835.8005000000001</v>
      </c>
      <c r="L29">
        <v>89.668899999999994</v>
      </c>
      <c r="M29">
        <v>0.54990000000000006</v>
      </c>
      <c r="N29">
        <v>50</v>
      </c>
      <c r="O29">
        <v>7061.7529000000004</v>
      </c>
    </row>
    <row r="30" spans="1:15" x14ac:dyDescent="0.3">
      <c r="A30" s="1">
        <v>45991.164583333331</v>
      </c>
      <c r="B30" t="s">
        <v>43</v>
      </c>
      <c r="C30">
        <v>31415</v>
      </c>
      <c r="D30">
        <v>35491.238619999996</v>
      </c>
      <c r="E30">
        <v>166.5036705</v>
      </c>
      <c r="F30">
        <v>188.3911851</v>
      </c>
      <c r="G30">
        <v>2.3099900999999999E-2</v>
      </c>
      <c r="H30">
        <v>0.68513851299999995</v>
      </c>
      <c r="I30">
        <v>0.18859999999999999</v>
      </c>
      <c r="J30">
        <v>164.7465</v>
      </c>
      <c r="K30">
        <v>3746.7822000000001</v>
      </c>
      <c r="L30">
        <v>42.049599999999998</v>
      </c>
      <c r="M30">
        <v>0.27510000000000001</v>
      </c>
      <c r="N30">
        <v>50</v>
      </c>
      <c r="O30">
        <v>1806.2583</v>
      </c>
    </row>
    <row r="31" spans="1:15" x14ac:dyDescent="0.3">
      <c r="A31" s="1">
        <v>45991.184027777781</v>
      </c>
      <c r="B31" t="s">
        <v>44</v>
      </c>
      <c r="C31">
        <v>73</v>
      </c>
      <c r="D31">
        <v>27666.009099999999</v>
      </c>
      <c r="E31">
        <v>151.3447032</v>
      </c>
      <c r="F31">
        <v>166.33102260000001</v>
      </c>
      <c r="G31">
        <v>2.1060962999999999E-2</v>
      </c>
      <c r="H31">
        <v>0.748434343</v>
      </c>
      <c r="I31">
        <v>0.24479999999999999</v>
      </c>
      <c r="J31">
        <v>200.00530000000001</v>
      </c>
      <c r="K31">
        <v>2590.2894999999999</v>
      </c>
      <c r="L31">
        <v>74.287599999999998</v>
      </c>
      <c r="M31">
        <v>0.36520000000000002</v>
      </c>
      <c r="N31">
        <v>50</v>
      </c>
      <c r="O31">
        <v>3472.3560000000002</v>
      </c>
    </row>
    <row r="32" spans="1:15" x14ac:dyDescent="0.3">
      <c r="A32" s="1">
        <v>45991.285416666666</v>
      </c>
      <c r="B32" t="s">
        <v>45</v>
      </c>
      <c r="C32">
        <v>271828183</v>
      </c>
      <c r="D32">
        <v>995921.15269999998</v>
      </c>
      <c r="E32">
        <v>934.14199369999994</v>
      </c>
      <c r="F32">
        <v>997.95849250000003</v>
      </c>
      <c r="G32">
        <v>0.12964863200000001</v>
      </c>
      <c r="H32">
        <v>-7.951833079</v>
      </c>
      <c r="I32">
        <v>1</v>
      </c>
      <c r="J32">
        <v>3766.5218</v>
      </c>
      <c r="K32">
        <v>3766.5218</v>
      </c>
      <c r="L32">
        <v>294.92340000000002</v>
      </c>
      <c r="M32">
        <v>3.0379</v>
      </c>
      <c r="N32">
        <v>50</v>
      </c>
      <c r="O32">
        <v>8291.4235000000008</v>
      </c>
    </row>
    <row r="33" spans="1:15" x14ac:dyDescent="0.3">
      <c r="A33" s="1">
        <v>45991.298611111109</v>
      </c>
      <c r="B33" t="s">
        <v>46</v>
      </c>
      <c r="C33">
        <v>42</v>
      </c>
      <c r="D33">
        <v>222862.34330000001</v>
      </c>
      <c r="E33">
        <v>418.74264799999997</v>
      </c>
      <c r="F33">
        <v>472.08298350000001</v>
      </c>
      <c r="G33">
        <v>5.7944198000000002E-2</v>
      </c>
      <c r="H33">
        <v>-0.99876877900000005</v>
      </c>
      <c r="I33">
        <v>0.64670000000000005</v>
      </c>
      <c r="J33">
        <v>1086.7139</v>
      </c>
      <c r="K33">
        <v>3229.8022000000001</v>
      </c>
      <c r="L33">
        <v>486.14789999999999</v>
      </c>
      <c r="M33">
        <v>0.92469999999999997</v>
      </c>
      <c r="N33">
        <v>50</v>
      </c>
      <c r="O33">
        <v>9312.2494999999999</v>
      </c>
    </row>
    <row r="34" spans="1:15" x14ac:dyDescent="0.3">
      <c r="A34" s="1">
        <v>45991.518750000003</v>
      </c>
      <c r="B34" t="s">
        <v>47</v>
      </c>
      <c r="C34">
        <v>31415</v>
      </c>
      <c r="D34">
        <v>18942993.16</v>
      </c>
      <c r="E34">
        <v>4337.0547720000004</v>
      </c>
      <c r="F34">
        <v>4352.3548979999996</v>
      </c>
      <c r="G34">
        <v>0.61322637000000002</v>
      </c>
      <c r="H34">
        <v>-169.26901409999999</v>
      </c>
      <c r="I34">
        <v>1</v>
      </c>
      <c r="J34">
        <v>3992370.3960000002</v>
      </c>
      <c r="K34">
        <v>3992370.3960000002</v>
      </c>
      <c r="L34">
        <v>91.931100000000001</v>
      </c>
      <c r="M34">
        <v>0.42470000000000002</v>
      </c>
      <c r="N34">
        <v>50</v>
      </c>
      <c r="O34">
        <v>6946.3422</v>
      </c>
    </row>
    <row r="35" spans="1:15" x14ac:dyDescent="0.3">
      <c r="A35" s="1">
        <v>45991.542361111111</v>
      </c>
      <c r="B35" t="s">
        <v>48</v>
      </c>
      <c r="C35">
        <v>73</v>
      </c>
      <c r="D35">
        <v>26433.131430000001</v>
      </c>
      <c r="E35">
        <v>146.92790600000001</v>
      </c>
      <c r="F35">
        <v>162.58269110000001</v>
      </c>
      <c r="G35">
        <v>2.0429486E-2</v>
      </c>
      <c r="H35">
        <v>0.76240591000000002</v>
      </c>
      <c r="I35">
        <v>0.86719999999999997</v>
      </c>
      <c r="J35">
        <v>537.01020000000005</v>
      </c>
      <c r="K35">
        <v>883.47879999999998</v>
      </c>
      <c r="L35">
        <v>373.33249999999998</v>
      </c>
      <c r="M35">
        <v>0.97130000000000005</v>
      </c>
      <c r="N35">
        <v>50</v>
      </c>
      <c r="O35">
        <v>8685.6242999999995</v>
      </c>
    </row>
    <row r="36" spans="1:15" x14ac:dyDescent="0.3">
      <c r="A36" s="1">
        <v>45991.552777777775</v>
      </c>
      <c r="B36" t="s">
        <v>49</v>
      </c>
      <c r="C36">
        <v>1234</v>
      </c>
      <c r="D36">
        <v>1277128.3810000001</v>
      </c>
      <c r="E36">
        <v>1076.179586</v>
      </c>
      <c r="F36">
        <v>1130.1010490000001</v>
      </c>
      <c r="G36">
        <v>0.15016997700000001</v>
      </c>
      <c r="H36">
        <v>-10.330079100000001</v>
      </c>
      <c r="I36">
        <v>0.28139999999999998</v>
      </c>
      <c r="J36">
        <v>1579.0634</v>
      </c>
      <c r="K36">
        <v>15522.504499999999</v>
      </c>
      <c r="L36">
        <v>25.064800000000002</v>
      </c>
      <c r="M36">
        <v>0.18959999999999999</v>
      </c>
      <c r="N36">
        <v>50</v>
      </c>
      <c r="O36">
        <v>2393.1577000000002</v>
      </c>
    </row>
    <row r="37" spans="1:15" x14ac:dyDescent="0.3">
      <c r="A37" s="1">
        <v>45991.638888888891</v>
      </c>
      <c r="B37" t="s">
        <v>50</v>
      </c>
      <c r="C37">
        <v>42</v>
      </c>
      <c r="D37">
        <v>213803.68150000001</v>
      </c>
      <c r="E37">
        <v>419.97779919999999</v>
      </c>
      <c r="F37">
        <v>462.38910190000001</v>
      </c>
      <c r="G37">
        <v>5.8100361000000003E-2</v>
      </c>
      <c r="H37">
        <v>-0.921773489</v>
      </c>
      <c r="I37">
        <v>1.72E-2</v>
      </c>
      <c r="J37">
        <v>225.98859999999999</v>
      </c>
      <c r="K37">
        <v>12539.0671</v>
      </c>
      <c r="L37">
        <v>133.59289999999999</v>
      </c>
      <c r="M37">
        <v>0.44900000000000001</v>
      </c>
      <c r="N37">
        <v>50</v>
      </c>
      <c r="O37">
        <v>3750.4845</v>
      </c>
    </row>
    <row r="38" spans="1:15" x14ac:dyDescent="0.3">
      <c r="A38" s="1">
        <v>45991.6875</v>
      </c>
      <c r="B38" t="s">
        <v>51</v>
      </c>
      <c r="C38">
        <v>73</v>
      </c>
      <c r="D38">
        <v>188250.16930000001</v>
      </c>
      <c r="E38">
        <v>405.95865400000002</v>
      </c>
      <c r="F38">
        <v>433.87805809999998</v>
      </c>
      <c r="G38">
        <v>5.6381632000000001E-2</v>
      </c>
      <c r="H38">
        <v>-0.69208585300000003</v>
      </c>
      <c r="I38">
        <v>2.1899999999999999E-2</v>
      </c>
      <c r="J38">
        <v>262.01190000000003</v>
      </c>
      <c r="K38">
        <v>11311.6482</v>
      </c>
      <c r="L38">
        <v>116.7805</v>
      </c>
      <c r="M38">
        <v>0.51200000000000001</v>
      </c>
      <c r="N38">
        <v>50</v>
      </c>
      <c r="O38">
        <v>3688.3971000000001</v>
      </c>
    </row>
    <row r="39" spans="1:15" x14ac:dyDescent="0.3">
      <c r="A39" s="1">
        <v>45991.759027777778</v>
      </c>
      <c r="B39" t="s">
        <v>52</v>
      </c>
      <c r="C39">
        <v>1234</v>
      </c>
      <c r="D39">
        <v>56273.806120000001</v>
      </c>
      <c r="E39">
        <v>206.733397</v>
      </c>
      <c r="F39">
        <v>237.22100689999999</v>
      </c>
      <c r="G39">
        <v>2.8720219000000002E-2</v>
      </c>
      <c r="H39">
        <v>0.500765401</v>
      </c>
      <c r="I39">
        <v>0.2586</v>
      </c>
      <c r="J39">
        <v>215.49619999999999</v>
      </c>
      <c r="K39">
        <v>4607.4992000000002</v>
      </c>
      <c r="L39">
        <v>42.14</v>
      </c>
      <c r="M39">
        <v>0.44450000000000001</v>
      </c>
      <c r="N39">
        <v>50</v>
      </c>
      <c r="O39">
        <v>4469.9285</v>
      </c>
    </row>
    <row r="40" spans="1:15" x14ac:dyDescent="0.3">
      <c r="A40" s="1">
        <v>45991.82708333333</v>
      </c>
      <c r="B40" t="s">
        <v>53</v>
      </c>
      <c r="C40">
        <v>31415</v>
      </c>
      <c r="D40">
        <v>234982.0295</v>
      </c>
      <c r="E40">
        <v>452.9671257</v>
      </c>
      <c r="F40">
        <v>484.74945020000001</v>
      </c>
      <c r="G40">
        <v>6.2844282000000001E-2</v>
      </c>
      <c r="H40">
        <v>-1.1121349810000001</v>
      </c>
      <c r="I40">
        <v>0.29220000000000002</v>
      </c>
      <c r="J40">
        <v>722.8374</v>
      </c>
      <c r="K40">
        <v>5730.5753000000004</v>
      </c>
      <c r="L40">
        <v>41.3964</v>
      </c>
      <c r="M40">
        <v>0.37880000000000003</v>
      </c>
      <c r="N40">
        <v>50</v>
      </c>
      <c r="O40">
        <v>4906.6584000000003</v>
      </c>
    </row>
    <row r="41" spans="1:15" x14ac:dyDescent="0.3">
      <c r="A41" s="1">
        <v>45991.941666666666</v>
      </c>
      <c r="B41" t="s">
        <v>54</v>
      </c>
      <c r="C41">
        <v>271828183</v>
      </c>
      <c r="D41">
        <v>98796.334719999999</v>
      </c>
      <c r="E41">
        <v>270.9024526</v>
      </c>
      <c r="F41">
        <v>314.31884239999999</v>
      </c>
      <c r="G41">
        <v>3.7474695000000002E-2</v>
      </c>
      <c r="H41">
        <v>0.12352563499999999</v>
      </c>
      <c r="I41">
        <v>0.28860000000000002</v>
      </c>
      <c r="J41">
        <v>314.3408</v>
      </c>
      <c r="K41">
        <v>5651.8001000000004</v>
      </c>
      <c r="L41">
        <v>145.87989999999999</v>
      </c>
      <c r="M41">
        <v>1.0175000000000001</v>
      </c>
      <c r="N41">
        <v>50</v>
      </c>
      <c r="O41">
        <v>5499.0558000000001</v>
      </c>
    </row>
    <row r="42" spans="1:15" x14ac:dyDescent="0.3">
      <c r="A42" s="1">
        <v>45993.455590277779</v>
      </c>
      <c r="B42" t="s">
        <v>55</v>
      </c>
      <c r="C42">
        <v>42</v>
      </c>
      <c r="D42">
        <v>14839.02462</v>
      </c>
      <c r="E42">
        <v>106.0369408</v>
      </c>
      <c r="F42">
        <v>121.8155352</v>
      </c>
      <c r="G42">
        <v>1.4762030000000001E-2</v>
      </c>
      <c r="H42">
        <v>0.86661949000000005</v>
      </c>
      <c r="I42">
        <v>0.47343750000000001</v>
      </c>
      <c r="J42">
        <v>148.9519348</v>
      </c>
      <c r="K42">
        <v>1382.8063099999999</v>
      </c>
      <c r="L42">
        <v>446.41180000000003</v>
      </c>
      <c r="M42">
        <v>12.6296</v>
      </c>
      <c r="N42">
        <v>0</v>
      </c>
      <c r="O42">
        <v>0</v>
      </c>
    </row>
    <row r="43" spans="1:15" x14ac:dyDescent="0.3">
      <c r="A43" s="1">
        <v>45993.744351851848</v>
      </c>
      <c r="B43" t="s">
        <v>56</v>
      </c>
      <c r="C43">
        <v>73</v>
      </c>
      <c r="D43">
        <v>31970.801189999998</v>
      </c>
      <c r="E43">
        <v>160.5571726</v>
      </c>
      <c r="F43">
        <v>178.80380640000001</v>
      </c>
      <c r="G43">
        <v>2.2356009E-2</v>
      </c>
      <c r="H43">
        <v>0.70929107999999996</v>
      </c>
      <c r="I43">
        <v>0.38805970099999998</v>
      </c>
      <c r="J43">
        <v>275.61114500000002</v>
      </c>
      <c r="K43">
        <v>2205.1229800000001</v>
      </c>
      <c r="L43">
        <v>426.59829999999999</v>
      </c>
      <c r="M43">
        <v>12.1242</v>
      </c>
      <c r="N43">
        <v>0</v>
      </c>
      <c r="O43">
        <v>0</v>
      </c>
    </row>
    <row r="44" spans="1:15" x14ac:dyDescent="0.3">
      <c r="A44" s="1">
        <v>45993.748865740738</v>
      </c>
      <c r="B44" t="s">
        <v>57</v>
      </c>
      <c r="C44">
        <v>31415</v>
      </c>
      <c r="D44">
        <v>12696.068370000001</v>
      </c>
      <c r="E44">
        <v>98.004125209999998</v>
      </c>
      <c r="F44">
        <v>112.6768316</v>
      </c>
      <c r="G44">
        <v>1.3672409999999999E-2</v>
      </c>
      <c r="H44">
        <v>0.88588144300000005</v>
      </c>
      <c r="I44">
        <v>0.4453125</v>
      </c>
      <c r="J44">
        <v>140.9268951</v>
      </c>
      <c r="K44">
        <v>1499.258223</v>
      </c>
      <c r="L44">
        <v>809.33579999999995</v>
      </c>
      <c r="M44">
        <v>19.655200000000001</v>
      </c>
      <c r="N44">
        <v>0</v>
      </c>
      <c r="O44">
        <v>0</v>
      </c>
    </row>
    <row r="45" spans="1:15" x14ac:dyDescent="0.3">
      <c r="A45" s="1">
        <v>45993.749386574076</v>
      </c>
      <c r="B45" t="s">
        <v>58</v>
      </c>
      <c r="C45">
        <v>1234</v>
      </c>
      <c r="D45">
        <v>10859.75671</v>
      </c>
      <c r="E45">
        <v>87.208998320000006</v>
      </c>
      <c r="F45">
        <v>104.2101565</v>
      </c>
      <c r="G45">
        <v>1.2170528999999999E-2</v>
      </c>
      <c r="H45">
        <v>0.90365737400000001</v>
      </c>
      <c r="I45">
        <v>0.71142857100000001</v>
      </c>
      <c r="J45">
        <v>198.39472960000001</v>
      </c>
      <c r="K45">
        <v>773.47838509999997</v>
      </c>
      <c r="L45">
        <v>286.12450000000001</v>
      </c>
      <c r="M45">
        <v>7.3710000000000004</v>
      </c>
      <c r="N45">
        <v>0</v>
      </c>
      <c r="O45">
        <v>0</v>
      </c>
    </row>
    <row r="46" spans="1:15" x14ac:dyDescent="0.3">
      <c r="A46" s="1">
        <v>45993.762986111113</v>
      </c>
      <c r="B46" t="s">
        <v>59</v>
      </c>
      <c r="C46">
        <v>271828183</v>
      </c>
      <c r="D46">
        <v>17758.666730000001</v>
      </c>
      <c r="E46">
        <v>113.6788284</v>
      </c>
      <c r="F46">
        <v>133.2616476</v>
      </c>
      <c r="G46">
        <v>1.5804980999999999E-2</v>
      </c>
      <c r="H46">
        <v>0.84037629899999999</v>
      </c>
      <c r="I46">
        <v>0.53593749999999996</v>
      </c>
      <c r="J46">
        <v>296.22039790000002</v>
      </c>
      <c r="K46">
        <v>1478.153597</v>
      </c>
      <c r="L46">
        <v>973.05449999999996</v>
      </c>
      <c r="M46">
        <v>22.652699999999999</v>
      </c>
      <c r="N46">
        <v>0</v>
      </c>
      <c r="O46">
        <v>0</v>
      </c>
    </row>
    <row r="47" spans="1:15" x14ac:dyDescent="0.3">
      <c r="A47" s="1">
        <v>45993.776435185187</v>
      </c>
      <c r="B47" t="s">
        <v>60</v>
      </c>
      <c r="C47">
        <v>42</v>
      </c>
      <c r="D47">
        <v>42546.114696959397</v>
      </c>
      <c r="E47">
        <v>175.91736606223199</v>
      </c>
      <c r="F47">
        <v>206.267095526551</v>
      </c>
      <c r="G47">
        <v>2.431178153856E-2</v>
      </c>
      <c r="H47">
        <v>0.62255098859449198</v>
      </c>
      <c r="I47">
        <v>0.45142857142857101</v>
      </c>
      <c r="J47">
        <v>271.52764892578102</v>
      </c>
      <c r="K47">
        <v>2396.0097654374999</v>
      </c>
      <c r="L47">
        <v>219.7688</v>
      </c>
      <c r="M47">
        <v>6.3977000000000004</v>
      </c>
      <c r="N47">
        <v>0</v>
      </c>
      <c r="O47">
        <v>0</v>
      </c>
    </row>
    <row r="48" spans="1:15" x14ac:dyDescent="0.3">
      <c r="A48" s="1">
        <v>45993.783680555556</v>
      </c>
      <c r="B48" t="s">
        <v>61</v>
      </c>
      <c r="C48">
        <v>73</v>
      </c>
      <c r="D48">
        <v>12941.7181201113</v>
      </c>
      <c r="E48">
        <v>91.783693505312399</v>
      </c>
      <c r="F48">
        <v>113.76167245654899</v>
      </c>
      <c r="G48">
        <v>1.27703382001255E-2</v>
      </c>
      <c r="H48">
        <v>0.88518719640752797</v>
      </c>
      <c r="I48">
        <v>0.72142857142857097</v>
      </c>
      <c r="J48">
        <v>226.38677978515599</v>
      </c>
      <c r="K48">
        <v>849.13264006897202</v>
      </c>
      <c r="L48">
        <v>300.17489999999998</v>
      </c>
      <c r="M48">
        <v>8.9571000000000005</v>
      </c>
      <c r="N48">
        <v>0</v>
      </c>
      <c r="O48">
        <v>0</v>
      </c>
    </row>
    <row r="49" spans="1:15" x14ac:dyDescent="0.3">
      <c r="A49" s="1">
        <v>45993.791770833333</v>
      </c>
      <c r="B49" t="s">
        <v>62</v>
      </c>
      <c r="C49">
        <v>271828183</v>
      </c>
      <c r="D49">
        <v>31796.323350440602</v>
      </c>
      <c r="E49">
        <v>155.27285225102599</v>
      </c>
      <c r="F49">
        <v>178.315235889815</v>
      </c>
      <c r="G49">
        <v>2.1524347462157901E-2</v>
      </c>
      <c r="H49">
        <v>0.71791805431739297</v>
      </c>
      <c r="I49">
        <v>0.42571428571428499</v>
      </c>
      <c r="J49">
        <v>231.11312866210901</v>
      </c>
      <c r="K49">
        <v>2100.1560043803502</v>
      </c>
      <c r="L49">
        <v>212.70400000000001</v>
      </c>
      <c r="M49">
        <v>10.1028</v>
      </c>
      <c r="N49">
        <v>0</v>
      </c>
      <c r="O49">
        <v>0</v>
      </c>
    </row>
    <row r="50" spans="1:15" x14ac:dyDescent="0.3">
      <c r="A50" s="1">
        <v>45993.793599537035</v>
      </c>
      <c r="B50" t="s">
        <v>63</v>
      </c>
      <c r="C50">
        <v>31415</v>
      </c>
      <c r="D50">
        <v>42516.778143935197</v>
      </c>
      <c r="E50">
        <v>179.614124502691</v>
      </c>
      <c r="F50">
        <v>206.19597024174601</v>
      </c>
      <c r="G50">
        <v>2.48815622133251E-2</v>
      </c>
      <c r="H50">
        <v>0.61868296159471603</v>
      </c>
      <c r="I50">
        <v>0.56934306569342996</v>
      </c>
      <c r="J50">
        <v>326.22100830078102</v>
      </c>
      <c r="K50">
        <v>1655.4992420193801</v>
      </c>
      <c r="L50">
        <v>231.56620000000001</v>
      </c>
      <c r="M50">
        <v>6.7952000000000004</v>
      </c>
      <c r="N50">
        <v>0</v>
      </c>
      <c r="O50">
        <v>0</v>
      </c>
    </row>
    <row r="51" spans="1:15" x14ac:dyDescent="0.3">
      <c r="A51" s="1">
        <v>45993.799131944441</v>
      </c>
      <c r="B51" t="s">
        <v>64</v>
      </c>
      <c r="C51">
        <v>1234</v>
      </c>
      <c r="D51">
        <v>22019.032167284298</v>
      </c>
      <c r="E51">
        <v>130.28937759160101</v>
      </c>
      <c r="F51">
        <v>148.388113295116</v>
      </c>
      <c r="G51">
        <v>1.8075787869609498E-2</v>
      </c>
      <c r="H51">
        <v>0.80208202226740999</v>
      </c>
      <c r="I51">
        <v>0.49375000000000002</v>
      </c>
      <c r="J51">
        <v>212.98959350585901</v>
      </c>
      <c r="K51">
        <v>1500.94208747875</v>
      </c>
      <c r="L51">
        <v>788.41089999999997</v>
      </c>
      <c r="M51">
        <v>15.330299999999999</v>
      </c>
      <c r="N51">
        <v>0</v>
      </c>
      <c r="O51">
        <v>0</v>
      </c>
    </row>
    <row r="52" spans="1:15" x14ac:dyDescent="0.3">
      <c r="A52" s="1">
        <v>45993.807488425926</v>
      </c>
      <c r="B52" t="s">
        <v>65</v>
      </c>
      <c r="C52">
        <v>42</v>
      </c>
      <c r="D52">
        <v>12281.351512912501</v>
      </c>
      <c r="E52">
        <v>83.261215127678497</v>
      </c>
      <c r="F52">
        <v>110.821259300337</v>
      </c>
      <c r="G52">
        <v>1.14937838052942E-2</v>
      </c>
      <c r="H52">
        <v>0.89104565668827895</v>
      </c>
      <c r="I52">
        <v>0.66857142857142804</v>
      </c>
      <c r="J52">
        <v>193.529861450195</v>
      </c>
      <c r="K52">
        <v>914.65691619977599</v>
      </c>
      <c r="L52">
        <v>223.047</v>
      </c>
      <c r="M52">
        <v>7.8941999999999997</v>
      </c>
      <c r="N52">
        <v>0</v>
      </c>
      <c r="O52">
        <v>0</v>
      </c>
    </row>
    <row r="53" spans="1:15" x14ac:dyDescent="0.3">
      <c r="A53" s="1">
        <v>45993.82199074074</v>
      </c>
      <c r="B53" t="s">
        <v>66</v>
      </c>
      <c r="C53">
        <v>73</v>
      </c>
      <c r="D53">
        <v>29282.0985162861</v>
      </c>
      <c r="E53">
        <v>155.62744722635199</v>
      </c>
      <c r="F53">
        <v>171.12012890448</v>
      </c>
      <c r="G53">
        <v>2.1643830481817401E-2</v>
      </c>
      <c r="H53">
        <v>0.73373932135989794</v>
      </c>
      <c r="I53">
        <v>0.54776119402985002</v>
      </c>
      <c r="J53">
        <v>352.31814575195301</v>
      </c>
      <c r="K53">
        <v>1160.2798531061001</v>
      </c>
      <c r="L53">
        <v>643.76520000000005</v>
      </c>
      <c r="M53">
        <v>10.530099999999999</v>
      </c>
      <c r="N53">
        <v>0</v>
      </c>
      <c r="O53">
        <v>0</v>
      </c>
    </row>
    <row r="54" spans="1:15" x14ac:dyDescent="0.3">
      <c r="A54" s="1">
        <v>45993.822638888887</v>
      </c>
      <c r="B54" t="s">
        <v>67</v>
      </c>
      <c r="C54">
        <v>31415</v>
      </c>
      <c r="D54">
        <v>24077.925270462802</v>
      </c>
      <c r="E54">
        <v>117.21201100848501</v>
      </c>
      <c r="F54">
        <v>155.17063275782101</v>
      </c>
      <c r="G54">
        <v>1.6098422174646101E-2</v>
      </c>
      <c r="H54">
        <v>0.78405411802384495</v>
      </c>
      <c r="I54">
        <v>0.48175182481751799</v>
      </c>
      <c r="J54">
        <v>179.10908508300699</v>
      </c>
      <c r="K54">
        <v>2197.53529316605</v>
      </c>
      <c r="L54">
        <v>701.2251</v>
      </c>
      <c r="M54">
        <v>8.1554000000000002</v>
      </c>
      <c r="N54">
        <v>0</v>
      </c>
      <c r="O54">
        <v>0</v>
      </c>
    </row>
    <row r="55" spans="1:15" x14ac:dyDescent="0.3">
      <c r="A55" s="1">
        <v>45993.83</v>
      </c>
      <c r="B55" t="s">
        <v>68</v>
      </c>
      <c r="C55">
        <v>1234</v>
      </c>
      <c r="D55">
        <v>11321.137569599099</v>
      </c>
      <c r="E55">
        <v>87.0915184797108</v>
      </c>
      <c r="F55">
        <v>106.400834440333</v>
      </c>
      <c r="G55">
        <v>1.20813573483996E-2</v>
      </c>
      <c r="H55">
        <v>0.89705745404200099</v>
      </c>
      <c r="I55">
        <v>0.76268656716417904</v>
      </c>
      <c r="J55">
        <v>301.63009643554602</v>
      </c>
      <c r="K55">
        <v>713.64640209957895</v>
      </c>
      <c r="L55">
        <v>627.92660000000001</v>
      </c>
      <c r="M55">
        <v>16.113</v>
      </c>
      <c r="N55">
        <v>0</v>
      </c>
      <c r="O55">
        <v>0</v>
      </c>
    </row>
    <row r="56" spans="1:15" x14ac:dyDescent="0.3">
      <c r="A56" s="1">
        <v>45993.830092592594</v>
      </c>
      <c r="B56" t="s">
        <v>69</v>
      </c>
      <c r="C56">
        <v>271828183</v>
      </c>
      <c r="D56">
        <v>22676.968646644698</v>
      </c>
      <c r="E56">
        <v>131.451575316879</v>
      </c>
      <c r="F56">
        <v>150.588740105775</v>
      </c>
      <c r="G56">
        <v>1.82760997096214E-2</v>
      </c>
      <c r="H56">
        <v>0.796618772591979</v>
      </c>
      <c r="I56">
        <v>0.300729927007299</v>
      </c>
      <c r="J56">
        <v>194.77890014648401</v>
      </c>
      <c r="K56">
        <v>2286.99898849292</v>
      </c>
      <c r="L56">
        <v>592.67849999999999</v>
      </c>
      <c r="M56">
        <v>6.3620999999999999</v>
      </c>
      <c r="N56">
        <v>0</v>
      </c>
      <c r="O56">
        <v>0</v>
      </c>
    </row>
    <row r="57" spans="1:15" x14ac:dyDescent="0.3">
      <c r="A57" s="1">
        <v>45993.839131944442</v>
      </c>
      <c r="B57" t="s">
        <v>70</v>
      </c>
      <c r="C57">
        <v>42</v>
      </c>
      <c r="D57">
        <v>193507.20345997199</v>
      </c>
      <c r="E57">
        <v>400.89914549917</v>
      </c>
      <c r="F57">
        <v>439.89453674713002</v>
      </c>
      <c r="G57">
        <v>5.5432990966154498E-2</v>
      </c>
      <c r="H57">
        <v>-0.739338681851339</v>
      </c>
      <c r="I57">
        <v>0.16718749999999999</v>
      </c>
      <c r="J57">
        <v>392.10433959960898</v>
      </c>
      <c r="K57">
        <v>8205.5248258486299</v>
      </c>
      <c r="L57">
        <v>396.78739999999999</v>
      </c>
      <c r="M57">
        <v>8.2041000000000004</v>
      </c>
      <c r="N57">
        <v>0</v>
      </c>
      <c r="O57">
        <v>0</v>
      </c>
    </row>
    <row r="58" spans="1:15" x14ac:dyDescent="0.3">
      <c r="A58" s="1">
        <v>45993.853796296295</v>
      </c>
      <c r="B58" t="s">
        <v>71</v>
      </c>
      <c r="C58">
        <v>73</v>
      </c>
      <c r="D58">
        <v>84307.857456830898</v>
      </c>
      <c r="E58">
        <v>245.28651487180599</v>
      </c>
      <c r="F58">
        <v>290.35815376329703</v>
      </c>
      <c r="G58">
        <v>3.3839368171357402E-2</v>
      </c>
      <c r="H58">
        <v>0.24387444385130799</v>
      </c>
      <c r="I58">
        <v>0.41313868613138599</v>
      </c>
      <c r="J58">
        <v>448.99642944335898</v>
      </c>
      <c r="K58">
        <v>3458.2476574821999</v>
      </c>
      <c r="L58">
        <v>271.57760000000002</v>
      </c>
      <c r="M58">
        <v>6.3593999999999999</v>
      </c>
      <c r="N58">
        <v>0</v>
      </c>
      <c r="O58">
        <v>0</v>
      </c>
    </row>
    <row r="59" spans="1:15" x14ac:dyDescent="0.3">
      <c r="A59" s="1">
        <v>45993.864907407406</v>
      </c>
      <c r="B59" t="s">
        <v>72</v>
      </c>
      <c r="C59">
        <v>271828183</v>
      </c>
      <c r="D59">
        <v>108835.284672846</v>
      </c>
      <c r="E59">
        <v>287.05200821718699</v>
      </c>
      <c r="F59">
        <v>329.90193190226398</v>
      </c>
      <c r="G59">
        <v>3.9770515412657199E-2</v>
      </c>
      <c r="H59">
        <v>3.4464817800659298E-2</v>
      </c>
      <c r="I59">
        <v>0.27428571428571402</v>
      </c>
      <c r="J59">
        <v>421.90710449218699</v>
      </c>
      <c r="K59">
        <v>6065.2721341383904</v>
      </c>
      <c r="L59">
        <v>880.88919999999996</v>
      </c>
      <c r="M59">
        <v>9.8254999999999999</v>
      </c>
      <c r="N59">
        <v>0</v>
      </c>
      <c r="O59">
        <v>0</v>
      </c>
    </row>
    <row r="60" spans="1:15" x14ac:dyDescent="0.3">
      <c r="A60" s="1">
        <v>45993.870671296296</v>
      </c>
      <c r="B60" t="s">
        <v>73</v>
      </c>
      <c r="C60">
        <v>1234</v>
      </c>
      <c r="D60">
        <v>96839.045184749004</v>
      </c>
      <c r="E60">
        <v>277.102787374196</v>
      </c>
      <c r="F60">
        <v>311.18972538428801</v>
      </c>
      <c r="G60">
        <v>3.8453640014117399E-2</v>
      </c>
      <c r="H60">
        <v>0.14088978204515101</v>
      </c>
      <c r="I60">
        <v>0.28999999999999998</v>
      </c>
      <c r="J60">
        <v>388.00018310546801</v>
      </c>
      <c r="K60">
        <v>5615.1759666218704</v>
      </c>
      <c r="L60">
        <v>185.7431</v>
      </c>
      <c r="M60">
        <v>4.8559000000000001</v>
      </c>
      <c r="N60">
        <v>0</v>
      </c>
      <c r="O60">
        <v>0</v>
      </c>
    </row>
    <row r="61" spans="1:15" x14ac:dyDescent="0.3">
      <c r="A61" s="1">
        <v>45993.882349537038</v>
      </c>
      <c r="B61" t="s">
        <v>74</v>
      </c>
      <c r="C61">
        <v>31415</v>
      </c>
      <c r="D61">
        <v>230056.01120326901</v>
      </c>
      <c r="E61">
        <v>437.31238848516699</v>
      </c>
      <c r="F61">
        <v>479.64154449262298</v>
      </c>
      <c r="G61">
        <v>6.0730772585298499E-2</v>
      </c>
      <c r="H61">
        <v>-1.09188797155874</v>
      </c>
      <c r="I61">
        <v>0.20447761194029801</v>
      </c>
      <c r="J61">
        <v>416.93032836914</v>
      </c>
      <c r="K61">
        <v>9403.7193019659499</v>
      </c>
      <c r="L61">
        <v>933.05640000000005</v>
      </c>
      <c r="M61">
        <v>14.145200000000001</v>
      </c>
      <c r="N61">
        <v>0</v>
      </c>
      <c r="O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F6CF-40C3-4939-A0BC-1A191269C40F}">
  <dimension ref="A3:U67"/>
  <sheetViews>
    <sheetView tabSelected="1" topLeftCell="G1" workbookViewId="0">
      <selection activeCell="S17" sqref="S17"/>
    </sheetView>
  </sheetViews>
  <sheetFormatPr defaultRowHeight="14.4" x14ac:dyDescent="0.3"/>
  <cols>
    <col min="1" max="1" width="15.33203125" hidden="1" customWidth="1"/>
    <col min="2" max="2" width="25" bestFit="1" customWidth="1"/>
    <col min="3" max="3" width="10" bestFit="1" customWidth="1"/>
    <col min="4" max="4" width="13.6640625" bestFit="1" customWidth="1"/>
    <col min="5" max="6" width="9.5546875" bestFit="1" customWidth="1"/>
    <col min="7" max="7" width="6.5546875" bestFit="1" customWidth="1"/>
    <col min="8" max="8" width="9.21875" bestFit="1" customWidth="1"/>
    <col min="9" max="9" width="6.5546875" bestFit="1" customWidth="1"/>
    <col min="10" max="11" width="12.5546875" bestFit="1" customWidth="1"/>
    <col min="12" max="12" width="3.109375" customWidth="1"/>
    <col min="13" max="13" width="10.5546875" bestFit="1" customWidth="1"/>
    <col min="14" max="14" width="23.109375" bestFit="1" customWidth="1"/>
    <col min="15" max="16" width="16.88671875" bestFit="1" customWidth="1"/>
    <col min="17" max="17" width="13.88671875" bestFit="1" customWidth="1"/>
    <col min="18" max="18" width="14.5546875" bestFit="1" customWidth="1"/>
    <col min="19" max="19" width="13.88671875" bestFit="1" customWidth="1"/>
    <col min="20" max="20" width="18" bestFit="1" customWidth="1"/>
    <col min="21" max="21" width="20" bestFit="1" customWidth="1"/>
  </cols>
  <sheetData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M3" s="4" t="s">
        <v>79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4" t="s">
        <v>9</v>
      </c>
      <c r="U3" s="4" t="s">
        <v>10</v>
      </c>
    </row>
    <row r="4" spans="1:21" x14ac:dyDescent="0.3">
      <c r="A4" s="1">
        <v>45989.518055555556</v>
      </c>
      <c r="B4" t="s">
        <v>15</v>
      </c>
      <c r="C4">
        <v>1234</v>
      </c>
      <c r="D4" s="2">
        <v>8655.2484129999993</v>
      </c>
      <c r="E4" s="2">
        <v>74.575490369999997</v>
      </c>
      <c r="F4" s="2">
        <v>93.033587549999993</v>
      </c>
      <c r="G4" s="2">
        <v>1.0396766E-2</v>
      </c>
      <c r="H4" s="2">
        <v>0.92321472900000001</v>
      </c>
      <c r="I4" s="2">
        <v>0.87142857100000004</v>
      </c>
      <c r="J4" s="2">
        <v>280.53203289999999</v>
      </c>
      <c r="K4" s="2">
        <v>468.71657329999999</v>
      </c>
      <c r="L4" s="2"/>
      <c r="M4" s="4" t="s">
        <v>75</v>
      </c>
      <c r="N4" t="str">
        <f>TEXT(AVERAGE(D4:D8),"0.0000") &amp; " ± " &amp; TEXT(_xlfn.STDEV.S(D4:D8),"0.0000")</f>
        <v>16987.1358 ± 10664.4849</v>
      </c>
      <c r="O4" t="str">
        <f>TEXT(AVERAGE(E4:E8),"0.0000") &amp; " ± " &amp; TEXT(_xlfn.STDEV.S(E4:E8),"0.0000")</f>
        <v>106.7152 ± 42.1618</v>
      </c>
      <c r="P4" t="str">
        <f>TEXT(AVERAGE(F4:F8),"0.0000") &amp; " ± " &amp; TEXT(_xlfn.STDEV.S(F4:F8),"0.0000")</f>
        <v>125.4198 ± 39.6391</v>
      </c>
      <c r="Q4" t="str">
        <f>TEXT(AVERAGE(G4:G8),"0.0000") &amp; " ± " &amp; TEXT(_xlfn.STDEV.S(G4:G8),"0.0000")</f>
        <v>0.0149 ± 0.0059</v>
      </c>
      <c r="R4" t="str">
        <f>TEXT(AVERAGE(H4:H8),"0.0000") &amp; " ± " &amp; TEXT(_xlfn.STDEV.S(H4:H8),"0.0000")</f>
        <v>0.8470 ± 0.0965</v>
      </c>
      <c r="S4" t="str">
        <f>TEXT(AVERAGE(I4:I8),"0.0000") &amp; " ± " &amp; TEXT(_xlfn.STDEV.S(I4:I8),"0.0000")</f>
        <v>0.5789 ± 0.3347</v>
      </c>
      <c r="T4" t="str">
        <f>TEXT(AVERAGE(J4:J8),"0.0000") &amp; " ± " &amp; TEXT(_xlfn.STDEV.S(J4:J8),"0.0000")</f>
        <v>255.1568 ± 79.0154</v>
      </c>
      <c r="U4" t="str">
        <f>TEXT(AVERAGE(K4:K8),"0.0000") &amp; " ± " &amp; TEXT(_xlfn.STDEV.S(K4:K8),"0.0000")</f>
        <v>1377.3213 ± 968.6519</v>
      </c>
    </row>
    <row r="5" spans="1:21" x14ac:dyDescent="0.3">
      <c r="A5" s="1">
        <v>45989.526388888888</v>
      </c>
      <c r="B5" t="s">
        <v>16</v>
      </c>
      <c r="C5">
        <v>42</v>
      </c>
      <c r="D5" s="2">
        <v>32046.011559999999</v>
      </c>
      <c r="E5" s="2">
        <v>164.02154540000001</v>
      </c>
      <c r="F5" s="2">
        <v>179.0139982</v>
      </c>
      <c r="G5" s="2">
        <v>2.2891227E-2</v>
      </c>
      <c r="H5" s="2">
        <v>0.71195456000000001</v>
      </c>
      <c r="I5" s="2">
        <v>0.2578125</v>
      </c>
      <c r="J5" s="2">
        <v>261.56646000000001</v>
      </c>
      <c r="K5" s="2">
        <v>2312.6788649999999</v>
      </c>
      <c r="L5" s="2"/>
      <c r="M5" s="4" t="s">
        <v>76</v>
      </c>
      <c r="N5" t="str">
        <f>TEXT(AVERAGE(D9:D13),"0.0000") &amp; " ± " &amp; TEXT(_xlfn.STDEV.S(D9:D13),"0.0000")</f>
        <v>24590.5004 ± 10543.0299</v>
      </c>
      <c r="O5" t="str">
        <f t="shared" ref="O5:U5" si="0">TEXT(AVERAGE(E9:E13),"0.0000") &amp; " ± " &amp; TEXT(_xlfn.STDEV.S(E9:E13),"0.0000")</f>
        <v>132.1290 ± 32.2292</v>
      </c>
      <c r="P5" t="str">
        <f t="shared" si="0"/>
        <v>153.9467 ± 33.3714</v>
      </c>
      <c r="Q5" t="str">
        <f t="shared" si="0"/>
        <v>0.0184 ± 0.0045</v>
      </c>
      <c r="R5" t="str">
        <f t="shared" si="0"/>
        <v>0.7808 ± 0.0942</v>
      </c>
      <c r="S5" t="str">
        <f t="shared" si="0"/>
        <v>0.6964 ± 0.1235</v>
      </c>
      <c r="T5" t="str">
        <f t="shared" si="0"/>
        <v>334.9358 ± 49.4232</v>
      </c>
      <c r="U5" t="str">
        <f t="shared" si="0"/>
        <v>1054.8417 ± 473.8492</v>
      </c>
    </row>
    <row r="6" spans="1:21" x14ac:dyDescent="0.3">
      <c r="A6" s="1">
        <v>45989.52847222222</v>
      </c>
      <c r="B6" t="s">
        <v>17</v>
      </c>
      <c r="C6">
        <v>73</v>
      </c>
      <c r="D6" s="2">
        <v>24486.60095</v>
      </c>
      <c r="E6" s="2">
        <v>139.60827599999999</v>
      </c>
      <c r="F6" s="2">
        <v>156.48195089999999</v>
      </c>
      <c r="G6" s="2">
        <v>1.9509573999999998E-2</v>
      </c>
      <c r="H6" s="2">
        <v>0.77734454399999997</v>
      </c>
      <c r="I6" s="2">
        <v>0.23880597000000001</v>
      </c>
      <c r="J6" s="2">
        <v>194.03883980000001</v>
      </c>
      <c r="K6" s="2">
        <v>2445.9013129999998</v>
      </c>
      <c r="L6" s="2"/>
      <c r="M6" s="4" t="s">
        <v>77</v>
      </c>
      <c r="N6" t="str">
        <f>TEXT(AVERAGE(D14:D18),"0.0000") &amp; " ± " &amp; TEXT(_xlfn.STDEV.S(D14:D18),"0.0000")</f>
        <v>5132.7004 ± 1507.1207</v>
      </c>
      <c r="O6" t="str">
        <f>TEXT(AVERAGE(E14:E18),"0.0000") &amp; " ± " &amp; TEXT(_xlfn.STDEV.S(E14:E18),"0.0000")</f>
        <v>53.4570 ± 13.4913</v>
      </c>
      <c r="P6" t="str">
        <f>TEXT(AVERAGE(F14:F18),"0.0000") &amp; " ± " &amp; TEXT(_xlfn.STDEV.S(F14:F18),"0.0000")</f>
        <v>70.9943 ± 10.7538</v>
      </c>
      <c r="Q6" t="str">
        <f>TEXT(AVERAGE(G14:G18),"0.0000") &amp; " ± " &amp; TEXT(_xlfn.STDEV.S(G14:G18),"0.0000")</f>
        <v>0.0076 ± 0.0019</v>
      </c>
      <c r="R6" t="str">
        <f>TEXT(AVERAGE(H14:H18),"0.0000") &amp; " ± " &amp; TEXT(_xlfn.STDEV.S(H14:H18),"0.0000")</f>
        <v>0.9538 ± 0.0136</v>
      </c>
      <c r="S6" t="str">
        <f>TEXT(AVERAGE(I14:I18),"0.0000") &amp; " ± " &amp; TEXT(_xlfn.STDEV.S(I14:I18),"0.0000")</f>
        <v>0.6408 ± 0.3412</v>
      </c>
      <c r="T6" t="str">
        <f>TEXT(AVERAGE(J14:J18),"0.0000") &amp; " ± " &amp; TEXT(_xlfn.STDEV.S(J14:J18),"0.0000")</f>
        <v>134.2228 ± 74.1932</v>
      </c>
      <c r="U6" t="str">
        <f>TEXT(AVERAGE(K14:K18),"0.0000") &amp; " ± " &amp; TEXT(_xlfn.STDEV.S(K14:K18),"0.0000")</f>
        <v>868.5952 ± 715.1093</v>
      </c>
    </row>
    <row r="7" spans="1:21" x14ac:dyDescent="0.3">
      <c r="A7" s="1">
        <v>45989.542361111111</v>
      </c>
      <c r="B7" t="s">
        <v>18</v>
      </c>
      <c r="C7">
        <v>31415</v>
      </c>
      <c r="D7" s="2">
        <v>10679.1708</v>
      </c>
      <c r="E7" s="2">
        <v>81.296803269999998</v>
      </c>
      <c r="F7" s="2">
        <v>103.3400735</v>
      </c>
      <c r="G7" s="2">
        <v>1.1271246E-2</v>
      </c>
      <c r="H7" s="2">
        <v>0.90401031799999998</v>
      </c>
      <c r="I7" s="2">
        <v>0.56874999999999998</v>
      </c>
      <c r="J7" s="2">
        <v>169.51608590000001</v>
      </c>
      <c r="K7" s="2">
        <v>1223.95767</v>
      </c>
      <c r="L7" s="2"/>
      <c r="M7" s="4" t="s">
        <v>78</v>
      </c>
      <c r="N7" t="str">
        <f>TEXT(AVERAGE(D19:D23),"0.0000") &amp; " ± " &amp; TEXT(_xlfn.STDEV.S(D19:D23),"0.0000")</f>
        <v>166259.0760 ± 64587.1437</v>
      </c>
      <c r="O7" t="str">
        <f>TEXT(AVERAGE(E19:E23),"0.0000") &amp; " ± " &amp; TEXT(_xlfn.STDEV.S(E19:E23),"0.0000")</f>
        <v>371.9853 ± 75.7340</v>
      </c>
      <c r="P7" t="str">
        <f>TEXT(AVERAGE(F19:F23),"0.0000") &amp; " ± " &amp; TEXT(_xlfn.STDEV.S(F19:F23),"0.0000")</f>
        <v>401.9187 ± 76.8153</v>
      </c>
      <c r="Q7" t="str">
        <f>TEXT(AVERAGE(G19:G23),"0.0000") &amp; " ± " &amp; TEXT(_xlfn.STDEV.S(G19:G23),"0.0000")</f>
        <v>0.0517 ± 0.0106</v>
      </c>
      <c r="R7" t="str">
        <f>TEXT(AVERAGE(H19:H23),"0.0000") &amp; " ± " &amp; TEXT(_xlfn.STDEV.S(H19:H23),"0.0000")</f>
        <v>-0.4931 ± 0.5943</v>
      </c>
      <c r="S7" t="str">
        <f>TEXT(AVERAGE(I19:I23),"0.0000") &amp; " ± " &amp; TEXT(_xlfn.STDEV.S(I19:I23),"0.0000")</f>
        <v>0.1202 ± 0.1493</v>
      </c>
      <c r="T7" t="str">
        <f>TEXT(AVERAGE(J19:J23),"0.0000") &amp; " ± " &amp; TEXT(_xlfn.STDEV.S(J19:J23),"0.0000")</f>
        <v>313.5035 ± 118.4156</v>
      </c>
      <c r="U7" t="str">
        <f>TEXT(AVERAGE(K19:K23),"0.0000") &amp; " ± " &amp; TEXT(_xlfn.STDEV.S(K19:K23),"0.0000")</f>
        <v>8835.3523 ± 3703.1387</v>
      </c>
    </row>
    <row r="8" spans="1:21" x14ac:dyDescent="0.3">
      <c r="A8" s="1">
        <v>45989.671527777777</v>
      </c>
      <c r="B8" t="s">
        <v>19</v>
      </c>
      <c r="C8">
        <v>271828183</v>
      </c>
      <c r="D8" s="2">
        <v>9068.6471870000005</v>
      </c>
      <c r="E8" s="2">
        <v>74.073960869999993</v>
      </c>
      <c r="F8" s="2">
        <v>95.229444959999995</v>
      </c>
      <c r="G8" s="2">
        <v>1.031457E-2</v>
      </c>
      <c r="H8" s="2">
        <v>0.91848650300000001</v>
      </c>
      <c r="I8" s="2">
        <v>0.95781249999999996</v>
      </c>
      <c r="J8" s="2">
        <v>370.13071600000001</v>
      </c>
      <c r="K8" s="2">
        <v>435.35209350000002</v>
      </c>
      <c r="L8" s="2"/>
      <c r="M8" s="4"/>
    </row>
    <row r="9" spans="1:21" x14ac:dyDescent="0.3">
      <c r="A9" s="1">
        <v>45989.726388888892</v>
      </c>
      <c r="B9" t="s">
        <v>20</v>
      </c>
      <c r="C9">
        <v>31415</v>
      </c>
      <c r="D9" s="2">
        <v>36711.99437</v>
      </c>
      <c r="E9" s="2">
        <v>167.12265049999999</v>
      </c>
      <c r="F9" s="2">
        <v>191.6037431</v>
      </c>
      <c r="G9" s="2">
        <v>2.3194795000000001E-2</v>
      </c>
      <c r="H9" s="2">
        <v>0.67074389000000001</v>
      </c>
      <c r="I9" s="2">
        <v>0.68759124100000002</v>
      </c>
      <c r="J9" s="2">
        <v>420.59419559999998</v>
      </c>
      <c r="K9" s="2">
        <v>1107.323028</v>
      </c>
      <c r="L9" s="2"/>
      <c r="M9" s="4"/>
      <c r="N9" s="5" t="s">
        <v>178</v>
      </c>
    </row>
    <row r="10" spans="1:21" x14ac:dyDescent="0.3">
      <c r="A10" s="1">
        <v>45989.730555555558</v>
      </c>
      <c r="B10" t="s">
        <v>21</v>
      </c>
      <c r="C10">
        <v>73</v>
      </c>
      <c r="D10" s="2">
        <v>35071.249770000002</v>
      </c>
      <c r="E10" s="2">
        <v>165.729488</v>
      </c>
      <c r="F10" s="2">
        <v>187.27319550000001</v>
      </c>
      <c r="G10" s="2">
        <v>2.3140694999999999E-2</v>
      </c>
      <c r="H10" s="2">
        <v>0.68886445600000001</v>
      </c>
      <c r="I10" s="2">
        <v>0.49142857099999998</v>
      </c>
      <c r="J10" s="2">
        <v>319.11320690000002</v>
      </c>
      <c r="K10" s="2">
        <v>1850.4088919999999</v>
      </c>
      <c r="L10" s="2"/>
      <c r="M10" s="4" t="s">
        <v>75</v>
      </c>
      <c r="N10">
        <f>_xlfn.STDEV.S(D4:D8)/ABS(AVERAGE(D4:D8))</f>
        <v>0.6277977045105968</v>
      </c>
      <c r="O10">
        <f t="shared" ref="O10:U10" si="1">_xlfn.STDEV.S(E4:E8)/ABS(AVERAGE(E4:E8))</f>
        <v>0.39508728958924599</v>
      </c>
      <c r="P10">
        <f t="shared" si="1"/>
        <v>0.316051368440808</v>
      </c>
      <c r="Q10">
        <f t="shared" si="1"/>
        <v>0.39707545057404348</v>
      </c>
      <c r="R10">
        <f t="shared" si="1"/>
        <v>0.11394551136938404</v>
      </c>
      <c r="S10">
        <f t="shared" si="1"/>
        <v>0.57808905323000115</v>
      </c>
      <c r="T10">
        <f t="shared" si="1"/>
        <v>0.30967380473251993</v>
      </c>
      <c r="U10">
        <f t="shared" si="1"/>
        <v>0.70328680070790339</v>
      </c>
    </row>
    <row r="11" spans="1:21" x14ac:dyDescent="0.3">
      <c r="A11" s="1">
        <v>45989.731249999997</v>
      </c>
      <c r="B11" t="s">
        <v>22</v>
      </c>
      <c r="C11">
        <v>271828183</v>
      </c>
      <c r="D11" s="2">
        <v>20477.686140000002</v>
      </c>
      <c r="E11" s="2">
        <v>121.6539313</v>
      </c>
      <c r="F11" s="2">
        <v>143.100266</v>
      </c>
      <c r="G11" s="2">
        <v>1.6952655000000001E-2</v>
      </c>
      <c r="H11" s="2">
        <v>0.81833165200000002</v>
      </c>
      <c r="I11" s="2">
        <v>0.72428571399999997</v>
      </c>
      <c r="J11" s="2">
        <v>329.51880849999998</v>
      </c>
      <c r="K11" s="2">
        <v>876.51115900000002</v>
      </c>
      <c r="L11" s="2"/>
      <c r="M11" s="4" t="s">
        <v>76</v>
      </c>
      <c r="N11">
        <f>_xlfn.STDEV.S(D9:D13)/ABS(AVERAGE(D9:D13))</f>
        <v>0.42874401590460509</v>
      </c>
      <c r="O11">
        <f t="shared" ref="O11:T11" si="2">_xlfn.STDEV.S(E9:E13)/ABS(AVERAGE(E9:E13))</f>
        <v>0.24392247909721826</v>
      </c>
      <c r="P11">
        <f t="shared" si="2"/>
        <v>0.21677249761617304</v>
      </c>
      <c r="Q11">
        <f t="shared" si="2"/>
        <v>0.24440571959954813</v>
      </c>
      <c r="R11">
        <f t="shared" si="2"/>
        <v>0.12061842284524618</v>
      </c>
      <c r="S11">
        <f t="shared" si="2"/>
        <v>0.17733629246397861</v>
      </c>
      <c r="T11">
        <f t="shared" si="2"/>
        <v>0.14756017959450521</v>
      </c>
      <c r="U11">
        <f>_xlfn.STDEV.S(K9:K13)/ABS(AVERAGE(K9:K13))</f>
        <v>0.44921356300337378</v>
      </c>
    </row>
    <row r="12" spans="1:21" x14ac:dyDescent="0.3">
      <c r="A12" s="1">
        <v>45989.734027777777</v>
      </c>
      <c r="B12" t="s">
        <v>23</v>
      </c>
      <c r="C12">
        <v>42</v>
      </c>
      <c r="D12" s="2">
        <v>15330.657440000001</v>
      </c>
      <c r="E12" s="2">
        <v>104.2319978</v>
      </c>
      <c r="F12" s="2">
        <v>123.81703210000001</v>
      </c>
      <c r="G12" s="2">
        <v>1.4526066000000001E-2</v>
      </c>
      <c r="H12" s="2">
        <v>0.863993656</v>
      </c>
      <c r="I12" s="2">
        <v>0.81</v>
      </c>
      <c r="J12" s="2">
        <v>308.99765619999999</v>
      </c>
      <c r="K12" s="2">
        <v>663.46780969999998</v>
      </c>
      <c r="L12" s="2"/>
      <c r="M12" s="4" t="s">
        <v>77</v>
      </c>
      <c r="N12">
        <f>_xlfn.STDEV.S(D14:D18)/ABS(AVERAGE(D14:D18))</f>
        <v>0.29363113401094393</v>
      </c>
      <c r="O12">
        <f t="shared" ref="O12:U12" si="3">_xlfn.STDEV.S(E14:E18)/ABS(AVERAGE(E14:E18))</f>
        <v>0.25237594953856879</v>
      </c>
      <c r="P12">
        <f t="shared" si="3"/>
        <v>0.15147448842938338</v>
      </c>
      <c r="Q12">
        <f t="shared" si="3"/>
        <v>0.24466385694109705</v>
      </c>
      <c r="R12">
        <f>_xlfn.STDEV.S(H14:H18)/ABS(AVERAGE(H14:H18))</f>
        <v>1.4248569755903589E-2</v>
      </c>
      <c r="S12">
        <f t="shared" si="3"/>
        <v>0.53252429959396241</v>
      </c>
      <c r="T12">
        <f t="shared" si="3"/>
        <v>0.55276163864251149</v>
      </c>
      <c r="U12">
        <f t="shared" si="3"/>
        <v>0.82329407484786177</v>
      </c>
    </row>
    <row r="13" spans="1:21" x14ac:dyDescent="0.3">
      <c r="A13" s="1">
        <v>45989.754861111112</v>
      </c>
      <c r="B13" t="s">
        <v>24</v>
      </c>
      <c r="C13">
        <v>1234</v>
      </c>
      <c r="D13" s="2">
        <v>15360.91423</v>
      </c>
      <c r="E13" s="2">
        <v>101.90689999999999</v>
      </c>
      <c r="F13" s="2">
        <v>123.9391554</v>
      </c>
      <c r="G13" s="2">
        <v>1.4130233000000001E-2</v>
      </c>
      <c r="H13" s="2">
        <v>0.86192848700000002</v>
      </c>
      <c r="I13" s="2">
        <v>0.76875000000000004</v>
      </c>
      <c r="J13" s="2">
        <v>296.4551606</v>
      </c>
      <c r="K13" s="2">
        <v>776.49753420000002</v>
      </c>
      <c r="L13" s="2"/>
      <c r="M13" s="4" t="s">
        <v>78</v>
      </c>
      <c r="N13">
        <f>_xlfn.STDEV.S(D19:D23)/ABS(AVERAGE(D19:D23))</f>
        <v>0.38847288981259948</v>
      </c>
      <c r="O13">
        <f t="shared" ref="O13:S13" si="4">_xlfn.STDEV.S(E19:E23)/ABS(AVERAGE(E19:E23))</f>
        <v>0.2035941674552352</v>
      </c>
      <c r="P13">
        <f t="shared" si="4"/>
        <v>0.19112147420581266</v>
      </c>
      <c r="Q13">
        <f t="shared" si="4"/>
        <v>0.20445231786995754</v>
      </c>
      <c r="R13">
        <f t="shared" si="4"/>
        <v>1.2052504947210094</v>
      </c>
      <c r="S13">
        <f t="shared" si="4"/>
        <v>1.2422673936500934</v>
      </c>
      <c r="T13">
        <f>_xlfn.STDEV.S(J19:J23)/ABS(AVERAGE(J19:J23))</f>
        <v>0.37771687941610771</v>
      </c>
      <c r="U13">
        <f>_xlfn.STDEV.S(K19:K23)/ABS(AVERAGE(K19:K23))</f>
        <v>0.41912745428945919</v>
      </c>
    </row>
    <row r="14" spans="1:21" x14ac:dyDescent="0.3">
      <c r="A14" s="1">
        <v>45990.125</v>
      </c>
      <c r="B14" t="s">
        <v>30</v>
      </c>
      <c r="C14">
        <v>73</v>
      </c>
      <c r="D14" s="2">
        <v>6904.1669160000001</v>
      </c>
      <c r="E14" s="2">
        <v>68.565690590000003</v>
      </c>
      <c r="F14" s="2">
        <v>83.091316730000003</v>
      </c>
      <c r="G14" s="2">
        <v>9.6479679999999998E-3</v>
      </c>
      <c r="H14" s="2">
        <v>0.93722075100000002</v>
      </c>
      <c r="I14" s="2">
        <v>0.72089552199999996</v>
      </c>
      <c r="J14" s="2">
        <v>176.1538559</v>
      </c>
      <c r="K14" s="2">
        <v>631.35226780000005</v>
      </c>
      <c r="L14" s="2"/>
      <c r="M14" s="4"/>
    </row>
    <row r="15" spans="1:21" x14ac:dyDescent="0.3">
      <c r="A15" s="1">
        <v>45990.195138888892</v>
      </c>
      <c r="B15" t="s">
        <v>31</v>
      </c>
      <c r="C15">
        <v>42</v>
      </c>
      <c r="D15" s="2">
        <v>5872.0253480000001</v>
      </c>
      <c r="E15" s="2">
        <v>63.866966390000002</v>
      </c>
      <c r="F15" s="2">
        <v>76.62914164</v>
      </c>
      <c r="G15" s="2">
        <v>9.0363460000000007E-3</v>
      </c>
      <c r="H15" s="2">
        <v>0.94790616800000005</v>
      </c>
      <c r="I15" s="2">
        <v>8.1428571000000005E-2</v>
      </c>
      <c r="J15" s="2">
        <v>25.207538920000001</v>
      </c>
      <c r="K15" s="2">
        <v>2092.6598090000002</v>
      </c>
      <c r="L15" s="2"/>
      <c r="M15" s="4"/>
    </row>
    <row r="16" spans="1:21" x14ac:dyDescent="0.3">
      <c r="A16" s="1">
        <v>45990.306250000001</v>
      </c>
      <c r="B16" t="s">
        <v>32</v>
      </c>
      <c r="C16">
        <v>31415</v>
      </c>
      <c r="D16" s="2">
        <v>3638.6363419999998</v>
      </c>
      <c r="E16" s="2">
        <v>39.89827571</v>
      </c>
      <c r="F16" s="2">
        <v>60.321110249999997</v>
      </c>
      <c r="G16" s="2">
        <v>5.7318229999999996E-3</v>
      </c>
      <c r="H16" s="2">
        <v>0.96736643499999997</v>
      </c>
      <c r="I16" s="2">
        <v>0.86569343099999996</v>
      </c>
      <c r="J16" s="2">
        <v>154.97503750000001</v>
      </c>
      <c r="K16" s="2">
        <v>404.96439620000001</v>
      </c>
      <c r="L16" s="2"/>
      <c r="M16" s="4"/>
    </row>
    <row r="17" spans="1:21" x14ac:dyDescent="0.3">
      <c r="A17" s="1">
        <v>45990.582638888889</v>
      </c>
      <c r="B17" t="s">
        <v>33</v>
      </c>
      <c r="C17">
        <v>1234</v>
      </c>
      <c r="D17" s="2">
        <v>3472.8462220000001</v>
      </c>
      <c r="E17" s="2">
        <v>39.229073890000002</v>
      </c>
      <c r="F17" s="2">
        <v>58.930859679999998</v>
      </c>
      <c r="G17" s="2">
        <v>5.613659E-3</v>
      </c>
      <c r="H17" s="2">
        <v>0.96842158</v>
      </c>
      <c r="I17" s="2">
        <v>0.94626865699999996</v>
      </c>
      <c r="J17" s="2">
        <v>216.0062824</v>
      </c>
      <c r="K17" s="2">
        <v>343.28709750000002</v>
      </c>
      <c r="L17" s="2"/>
      <c r="M17" s="4"/>
    </row>
    <row r="18" spans="1:21" x14ac:dyDescent="0.3">
      <c r="A18" s="1">
        <v>45990.654166666667</v>
      </c>
      <c r="B18" t="s">
        <v>34</v>
      </c>
      <c r="C18">
        <v>271828183</v>
      </c>
      <c r="D18" s="2">
        <v>5775.827413</v>
      </c>
      <c r="E18" s="2">
        <v>55.725106949999997</v>
      </c>
      <c r="F18" s="2">
        <v>75.998864549999993</v>
      </c>
      <c r="G18" s="2">
        <v>7.979982E-3</v>
      </c>
      <c r="H18" s="2">
        <v>0.94819876999999997</v>
      </c>
      <c r="I18" s="2">
        <v>0.58978102200000004</v>
      </c>
      <c r="J18" s="2">
        <v>98.771368170000002</v>
      </c>
      <c r="K18" s="2">
        <v>870.712264</v>
      </c>
      <c r="L18" s="2"/>
      <c r="M18" s="4"/>
    </row>
    <row r="19" spans="1:21" x14ac:dyDescent="0.3">
      <c r="A19" s="1">
        <v>45990.738888888889</v>
      </c>
      <c r="B19" t="s">
        <v>25</v>
      </c>
      <c r="C19">
        <v>1234</v>
      </c>
      <c r="D19" s="2">
        <v>122719.1173</v>
      </c>
      <c r="E19" s="2">
        <v>321.00499509999997</v>
      </c>
      <c r="F19" s="2">
        <v>350.31288480000001</v>
      </c>
      <c r="G19" s="2">
        <v>4.4793993999999997E-2</v>
      </c>
      <c r="H19" s="2">
        <v>-8.8705980000000004E-2</v>
      </c>
      <c r="I19" s="2">
        <v>1.5714286000000001E-2</v>
      </c>
      <c r="J19" s="2">
        <v>138.55761899999999</v>
      </c>
      <c r="K19" s="2">
        <v>10189.19246</v>
      </c>
      <c r="L19" s="2"/>
      <c r="M19" s="4"/>
    </row>
    <row r="20" spans="1:21" x14ac:dyDescent="0.3">
      <c r="A20" s="1">
        <v>45990.745138888888</v>
      </c>
      <c r="B20" t="s">
        <v>26</v>
      </c>
      <c r="C20">
        <v>31415</v>
      </c>
      <c r="D20" s="2">
        <v>259719.88070000001</v>
      </c>
      <c r="E20" s="2">
        <v>475.93252460000002</v>
      </c>
      <c r="F20" s="2">
        <v>509.62719770000001</v>
      </c>
      <c r="G20" s="2">
        <v>6.6225368000000007E-2</v>
      </c>
      <c r="H20" s="2">
        <v>-1.361620074</v>
      </c>
      <c r="I20" s="2">
        <v>1.9402985000000001E-2</v>
      </c>
      <c r="J20" s="2">
        <v>326.81847490000001</v>
      </c>
      <c r="K20" s="2">
        <v>12516.124299999999</v>
      </c>
      <c r="L20" s="2"/>
      <c r="M20" s="4"/>
    </row>
    <row r="21" spans="1:21" x14ac:dyDescent="0.3">
      <c r="A21" s="1">
        <v>45990.837500000001</v>
      </c>
      <c r="B21" t="s">
        <v>27</v>
      </c>
      <c r="C21">
        <v>73</v>
      </c>
      <c r="D21" s="2">
        <v>207221.6759</v>
      </c>
      <c r="E21" s="2">
        <v>428.45825159999998</v>
      </c>
      <c r="F21" s="2">
        <v>455.21607610000001</v>
      </c>
      <c r="G21" s="2">
        <v>5.9673775999999998E-2</v>
      </c>
      <c r="H21" s="2">
        <v>-0.85849349900000005</v>
      </c>
      <c r="I21" s="2">
        <v>1.7518248E-2</v>
      </c>
      <c r="J21" s="2">
        <v>279.6906907</v>
      </c>
      <c r="K21" s="2">
        <v>11488.93223</v>
      </c>
      <c r="L21" s="2"/>
      <c r="M21" s="4"/>
    </row>
    <row r="22" spans="1:21" x14ac:dyDescent="0.3">
      <c r="A22" s="1">
        <v>45990.857638888891</v>
      </c>
      <c r="B22" t="s">
        <v>28</v>
      </c>
      <c r="C22">
        <v>42</v>
      </c>
      <c r="D22" s="2">
        <v>109692.7957</v>
      </c>
      <c r="E22" s="2">
        <v>303.83358459999999</v>
      </c>
      <c r="F22" s="2">
        <v>331.19902730000001</v>
      </c>
      <c r="G22" s="2">
        <v>4.2071630999999998E-2</v>
      </c>
      <c r="H22" s="2">
        <v>1.4026769E-2</v>
      </c>
      <c r="I22" s="2">
        <v>0.34531250000000002</v>
      </c>
      <c r="J22" s="2">
        <v>461.54038150000002</v>
      </c>
      <c r="K22" s="2">
        <v>3792.0183270000002</v>
      </c>
      <c r="L22" s="2"/>
      <c r="M22" s="4"/>
    </row>
    <row r="23" spans="1:21" x14ac:dyDescent="0.3">
      <c r="A23" s="1">
        <v>45990.95208333333</v>
      </c>
      <c r="B23" t="s">
        <v>29</v>
      </c>
      <c r="C23">
        <v>271828183</v>
      </c>
      <c r="D23" s="2">
        <v>131941.91039999999</v>
      </c>
      <c r="E23" s="2">
        <v>330.69715960000002</v>
      </c>
      <c r="F23" s="2">
        <v>363.2380905</v>
      </c>
      <c r="G23" s="2">
        <v>4.5974018999999998E-2</v>
      </c>
      <c r="H23" s="2">
        <v>-0.170526239</v>
      </c>
      <c r="I23" s="2">
        <v>0.20285714299999999</v>
      </c>
      <c r="J23" s="2">
        <v>360.91036910000003</v>
      </c>
      <c r="K23" s="2">
        <v>6190.4940189999998</v>
      </c>
      <c r="L23" s="2"/>
      <c r="M23" s="4"/>
    </row>
    <row r="24" spans="1:21" x14ac:dyDescent="0.3">
      <c r="A24" s="1"/>
      <c r="D24" s="2"/>
      <c r="E24" s="2"/>
      <c r="F24" s="2"/>
      <c r="G24" s="2"/>
      <c r="H24" s="2"/>
      <c r="I24" s="2"/>
      <c r="J24" s="2"/>
      <c r="K24" s="2"/>
      <c r="L24" s="2"/>
      <c r="M24" s="4"/>
    </row>
    <row r="25" spans="1:21" x14ac:dyDescent="0.3">
      <c r="A25" s="1"/>
      <c r="D25" s="2"/>
      <c r="E25" s="2"/>
      <c r="F25" s="2"/>
      <c r="G25" s="2"/>
      <c r="H25" s="2"/>
      <c r="I25" s="2"/>
      <c r="J25" s="2"/>
      <c r="K25" s="2"/>
      <c r="L25" s="2"/>
      <c r="M25" s="4" t="s">
        <v>80</v>
      </c>
      <c r="N25" s="4" t="s">
        <v>3</v>
      </c>
      <c r="O25" s="4" t="s">
        <v>4</v>
      </c>
      <c r="P25" s="4" t="s">
        <v>5</v>
      </c>
      <c r="Q25" s="4" t="s">
        <v>6</v>
      </c>
      <c r="R25" s="4" t="s">
        <v>7</v>
      </c>
      <c r="S25" s="4" t="s">
        <v>8</v>
      </c>
      <c r="T25" s="4" t="s">
        <v>9</v>
      </c>
      <c r="U25" s="4" t="s">
        <v>10</v>
      </c>
    </row>
    <row r="26" spans="1:21" x14ac:dyDescent="0.3">
      <c r="A26" s="1">
        <v>45991.01458333333</v>
      </c>
      <c r="B26" t="s">
        <v>35</v>
      </c>
      <c r="C26">
        <v>31415</v>
      </c>
      <c r="D26" s="2">
        <v>40990.277889999998</v>
      </c>
      <c r="E26" s="2">
        <v>177.08985419999999</v>
      </c>
      <c r="F26" s="2">
        <v>202.4605589</v>
      </c>
      <c r="G26" s="2">
        <v>2.4598357000000001E-2</v>
      </c>
      <c r="H26" s="2">
        <v>0.63635363700000003</v>
      </c>
      <c r="I26" s="2">
        <v>0.35139999999999999</v>
      </c>
      <c r="J26" s="2">
        <v>249.077</v>
      </c>
      <c r="K26" s="2">
        <v>3127.7898</v>
      </c>
      <c r="L26" s="2"/>
      <c r="M26" s="4" t="s">
        <v>75</v>
      </c>
      <c r="N26" t="str">
        <f>TEXT(AVERAGE(D26:D30),"0.0000") &amp; " ± " &amp; TEXT(_xlfn.STDEV.S(D26:D30),"0.0000")</f>
        <v>20970.9758 ± 11934.7270</v>
      </c>
      <c r="O26" t="str">
        <f>TEXT(AVERAGE(E26:E30),"0.0000") &amp; " ± " &amp; TEXT(_xlfn.STDEV.S(E26:E30),"0.0000")</f>
        <v>122.0151 ± 34.9639</v>
      </c>
      <c r="P26" t="str">
        <f>TEXT(AVERAGE(F26:F30),"0.0000") &amp; " ± " &amp; TEXT(_xlfn.STDEV.S(F26:F30),"0.0000")</f>
        <v>140.7091 ± 38.2742</v>
      </c>
      <c r="Q26" t="str">
        <f>TEXT(AVERAGE(G26:G30),"0.0000") &amp; " ± " &amp; TEXT(_xlfn.STDEV.S(G26:G30),"0.0000")</f>
        <v>0.0170 ± 0.0048</v>
      </c>
      <c r="R26" t="str">
        <f>TEXT(AVERAGE(H26:H30),"0.0000") &amp; " ± " &amp; TEXT(_xlfn.STDEV.S(H26:H30),"0.0000")</f>
        <v>0.8129 ± 0.1053</v>
      </c>
      <c r="S26" t="str">
        <f>TEXT(AVERAGE(I26:I30),"0.0000") &amp; " ± " &amp; TEXT(_xlfn.STDEV.S(I26:I30),"0.0000")</f>
        <v>0.3725 ± 0.0823</v>
      </c>
      <c r="T26" t="str">
        <f>TEXT(AVERAGE(J26:J30),"0.0000") &amp; " ± " &amp; TEXT(_xlfn.STDEV.S(J26:J30),"0.0000")</f>
        <v>176.4126 ± 44.6299</v>
      </c>
      <c r="U26" t="str">
        <f>TEXT(AVERAGE(K26:K30),"0.0000") &amp; " ± " &amp; TEXT(_xlfn.STDEV.S(K26:K30),"0.0000")</f>
        <v>2112.9195 ± 735.1905</v>
      </c>
    </row>
    <row r="27" spans="1:21" x14ac:dyDescent="0.3">
      <c r="A27" s="1">
        <v>45991.020833333336</v>
      </c>
      <c r="B27" t="s">
        <v>36</v>
      </c>
      <c r="C27">
        <v>73</v>
      </c>
      <c r="D27" s="2">
        <v>11671.88661</v>
      </c>
      <c r="E27" s="2">
        <v>91.681583399999994</v>
      </c>
      <c r="F27" s="2">
        <v>108.03650589999999</v>
      </c>
      <c r="G27" s="2">
        <v>1.2823777E-2</v>
      </c>
      <c r="H27" s="2">
        <v>0.89508729600000003</v>
      </c>
      <c r="I27" s="2">
        <v>0.48130000000000001</v>
      </c>
      <c r="J27" s="2">
        <v>169.21420000000001</v>
      </c>
      <c r="K27" s="2">
        <v>1241.8756000000001</v>
      </c>
      <c r="L27" s="2"/>
      <c r="M27" s="4" t="s">
        <v>76</v>
      </c>
      <c r="N27" t="str">
        <f>TEXT(AVERAGE(D31:D35),"0.0000") &amp; " ± " &amp; TEXT(_xlfn.STDEV.S(D31:D35),"0.0000")</f>
        <v>26916.3171 ± 13649.0225</v>
      </c>
      <c r="O27" t="str">
        <f t="shared" ref="O27" si="5">TEXT(AVERAGE(E31:E35),"0.0000") &amp; " ± " &amp; TEXT(_xlfn.STDEV.S(E31:E35),"0.0000")</f>
        <v>141.7851 ± 46.2292</v>
      </c>
      <c r="P27" t="str">
        <f t="shared" ref="P27" si="6">TEXT(AVERAGE(F31:F35),"0.0000") &amp; " ± " &amp; TEXT(_xlfn.STDEV.S(F31:F35),"0.0000")</f>
        <v>158.9402 ± 45.4741</v>
      </c>
      <c r="Q27" t="str">
        <f t="shared" ref="Q27" si="7">TEXT(AVERAGE(G31:G35),"0.0000") &amp; " ± " &amp; TEXT(_xlfn.STDEV.S(G31:G35),"0.0000")</f>
        <v>0.0197 ± 0.0064</v>
      </c>
      <c r="R27" t="str">
        <f t="shared" ref="R27" si="8">TEXT(AVERAGE(H31:H35),"0.0000") &amp; " ± " &amp; TEXT(_xlfn.STDEV.S(H31:H35),"0.0000")</f>
        <v>0.7591 ± 0.1225</v>
      </c>
      <c r="S27" t="str">
        <f t="shared" ref="S27" si="9">TEXT(AVERAGE(I31:I35),"0.0000") &amp; " ± " &amp; TEXT(_xlfn.STDEV.S(I31:I35),"0.0000")</f>
        <v>0.3158 ± 0.2422</v>
      </c>
      <c r="T27" t="str">
        <f t="shared" ref="T27" si="10">TEXT(AVERAGE(J31:J35),"0.0000") &amp; " ± " &amp; TEXT(_xlfn.STDEV.S(J31:J35),"0.0000")</f>
        <v>183.1107 ± 14.5653</v>
      </c>
      <c r="U27" t="str">
        <f t="shared" ref="U27" si="11">TEXT(AVERAGE(K31:K35),"0.0000") &amp; " ± " &amp; TEXT(_xlfn.STDEV.S(K31:K35),"0.0000")</f>
        <v>2688.3771 ± 1443.3449</v>
      </c>
    </row>
    <row r="28" spans="1:21" x14ac:dyDescent="0.3">
      <c r="A28" s="1">
        <v>45991.040277777778</v>
      </c>
      <c r="B28" t="s">
        <v>37</v>
      </c>
      <c r="C28">
        <v>42</v>
      </c>
      <c r="D28" s="2">
        <v>12007.18879</v>
      </c>
      <c r="E28" s="2">
        <v>91.669695279999999</v>
      </c>
      <c r="F28" s="2">
        <v>109.5773188</v>
      </c>
      <c r="G28" s="2">
        <v>1.2737996999999999E-2</v>
      </c>
      <c r="H28" s="2">
        <v>0.89207343400000005</v>
      </c>
      <c r="I28" s="2">
        <v>0.39219999999999999</v>
      </c>
      <c r="J28" s="2">
        <v>134.6713</v>
      </c>
      <c r="K28" s="2">
        <v>1620.2843</v>
      </c>
      <c r="L28" s="2"/>
      <c r="M28" s="4" t="s">
        <v>77</v>
      </c>
      <c r="N28" t="str">
        <f>TEXT(AVERAGE(D36:D40),"0.0000") &amp; " ± " &amp; TEXT(_xlfn.STDEV.S(D36:D40),"0.0000")</f>
        <v>4293067.6337 ± 8206066.7116</v>
      </c>
      <c r="O28" t="str">
        <f>TEXT(AVERAGE(E36:E40),"0.0000") &amp; " ± " &amp; TEXT(_xlfn.STDEV.S(E36:E40),"0.0000")</f>
        <v>1382.6094 ± 1694.0866</v>
      </c>
      <c r="P28" t="str">
        <f>TEXT(AVERAGE(F36:F40),"0.0000") &amp; " ± " &amp; TEXT(_xlfn.STDEV.S(F36:F40),"0.0000")</f>
        <v>1423.0160 ± 1683.7804</v>
      </c>
      <c r="Q28" t="str">
        <f>TEXT(AVERAGE(G36:G40),"0.0000") &amp; " ± " &amp; TEXT(_xlfn.STDEV.S(G36:G40),"0.0000")</f>
        <v>0.1943 ± 0.2400</v>
      </c>
      <c r="R28" t="str">
        <f>TEXT(AVERAGE(H36:H40),"0.0000") &amp; " ± " &amp; TEXT(_xlfn.STDEV.S(H36:H40),"0.0000")</f>
        <v>-37.5575 ± 73.7745</v>
      </c>
      <c r="S28" t="str">
        <f>TEXT(AVERAGE(I36:I40),"0.0000") &amp; " ± " &amp; TEXT(_xlfn.STDEV.S(I36:I40),"0.0000")</f>
        <v>0.7591 ± 0.3036</v>
      </c>
      <c r="T28" t="str">
        <f>TEXT(AVERAGE(J36:J40),"0.0000") &amp; " ± " &amp; TEXT(_xlfn.STDEV.S(J36:J40),"0.0000")</f>
        <v>799867.9411 ± 1784663.5476</v>
      </c>
      <c r="U28" t="str">
        <f>TEXT(AVERAGE(K36:K40),"0.0000") &amp; " ± " &amp; TEXT(_xlfn.STDEV.S(K36:K40),"0.0000")</f>
        <v>803154.5407 ± 1782834.9366</v>
      </c>
    </row>
    <row r="29" spans="1:21" x14ac:dyDescent="0.3">
      <c r="A29" s="1">
        <v>45991.054861111108</v>
      </c>
      <c r="B29" t="s">
        <v>38</v>
      </c>
      <c r="C29">
        <v>1234</v>
      </c>
      <c r="D29" s="2">
        <v>20646.53558</v>
      </c>
      <c r="E29" s="2">
        <v>124.8532031</v>
      </c>
      <c r="F29" s="2">
        <v>143.6890239</v>
      </c>
      <c r="G29" s="2">
        <v>1.7388846999999999E-2</v>
      </c>
      <c r="H29" s="2">
        <v>0.81683369900000002</v>
      </c>
      <c r="I29" s="2">
        <v>0.38429999999999997</v>
      </c>
      <c r="J29" s="2">
        <v>182.0378</v>
      </c>
      <c r="K29" s="2">
        <v>2100.4845999999998</v>
      </c>
      <c r="L29" s="2"/>
      <c r="M29" s="4" t="s">
        <v>78</v>
      </c>
      <c r="N29" t="str">
        <f>TEXT(AVERAGE(D41:D45),"0.0000") &amp; " ± " &amp; TEXT(_xlfn.STDEV.S(D41:D45),"0.0000")</f>
        <v>158421.2042 ± 77148.8203</v>
      </c>
      <c r="O29" t="str">
        <f>TEXT(AVERAGE(E41:E45),"0.0000") &amp; " ± " &amp; TEXT(_xlfn.STDEV.S(E41:E45),"0.0000")</f>
        <v>351.3079 ± 106.5407</v>
      </c>
      <c r="P29" t="str">
        <f>TEXT(AVERAGE(F41:F45),"0.0000") &amp; " ± " &amp; TEXT(_xlfn.STDEV.S(F41:F45),"0.0000")</f>
        <v>386.5113 ± 106.2440</v>
      </c>
      <c r="Q29" t="str">
        <f>TEXT(AVERAGE(G41:G45),"0.0000") &amp; " ± " &amp; TEXT(_xlfn.STDEV.S(G41:G45),"0.0000")</f>
        <v>0.0487 ± 0.0148</v>
      </c>
      <c r="R29" t="str">
        <f>TEXT(AVERAGE(H41:H45),"0.0000") &amp; " ± " &amp; TEXT(_xlfn.STDEV.S(H41:H45),"0.0000")</f>
        <v>-0.4203 ± 0.6979</v>
      </c>
      <c r="S29" t="str">
        <f>TEXT(AVERAGE(I41:I45),"0.0000") &amp; " ± " &amp; TEXT(_xlfn.STDEV.S(I41:I45),"0.0000")</f>
        <v>0.1757 ± 0.1432</v>
      </c>
      <c r="T29" t="str">
        <f>TEXT(AVERAGE(J41:J45),"0.0000") &amp; " ± " &amp; TEXT(_xlfn.STDEV.S(J41:J45),"0.0000")</f>
        <v>348.1350 ± 212.9988</v>
      </c>
      <c r="U29" t="str">
        <f>TEXT(AVERAGE(K41:K45),"0.0000") &amp; " ± " &amp; TEXT(_xlfn.STDEV.S(K41:K45),"0.0000")</f>
        <v>7968.1180 ± 3665.3259</v>
      </c>
    </row>
    <row r="30" spans="1:21" x14ac:dyDescent="0.3">
      <c r="A30" s="1">
        <v>45991.073611111111</v>
      </c>
      <c r="B30" t="s">
        <v>39</v>
      </c>
      <c r="C30">
        <v>271828183</v>
      </c>
      <c r="D30" s="2">
        <v>19538.990119999999</v>
      </c>
      <c r="E30" s="2">
        <v>124.7812576</v>
      </c>
      <c r="F30" s="2">
        <v>139.78193780000001</v>
      </c>
      <c r="G30" s="2">
        <v>1.7397492000000001E-2</v>
      </c>
      <c r="H30" s="2">
        <v>0.82437386999999995</v>
      </c>
      <c r="I30" s="2">
        <v>0.25309999999999999</v>
      </c>
      <c r="J30" s="2">
        <v>147.06270000000001</v>
      </c>
      <c r="K30" s="2">
        <v>2474.163</v>
      </c>
      <c r="L30" s="2"/>
      <c r="M30" s="4"/>
    </row>
    <row r="31" spans="1:21" x14ac:dyDescent="0.3">
      <c r="A31" s="1">
        <v>45991.116666666669</v>
      </c>
      <c r="B31" t="s">
        <v>40</v>
      </c>
      <c r="C31">
        <v>1234</v>
      </c>
      <c r="D31" s="2">
        <v>43469.057099999998</v>
      </c>
      <c r="E31" s="2">
        <v>194.0053533</v>
      </c>
      <c r="F31" s="2">
        <v>208.49234300000001</v>
      </c>
      <c r="G31" s="2">
        <v>2.7049024000000001E-2</v>
      </c>
      <c r="H31" s="2">
        <v>0.61014232899999998</v>
      </c>
      <c r="I31" s="2">
        <v>6.5699999999999995E-2</v>
      </c>
      <c r="J31" s="2">
        <v>179.83500000000001</v>
      </c>
      <c r="K31" s="2">
        <v>4433.1788999999999</v>
      </c>
      <c r="L31" s="2"/>
      <c r="M31" s="4"/>
      <c r="N31" s="3" t="s">
        <v>178</v>
      </c>
    </row>
    <row r="32" spans="1:21" x14ac:dyDescent="0.3">
      <c r="A32" s="1">
        <v>45991.121527777781</v>
      </c>
      <c r="B32" t="s">
        <v>41</v>
      </c>
      <c r="C32">
        <v>271828183</v>
      </c>
      <c r="D32" s="2">
        <v>8397.316648</v>
      </c>
      <c r="E32" s="2">
        <v>72.285043259999995</v>
      </c>
      <c r="F32" s="2">
        <v>91.636873850000001</v>
      </c>
      <c r="G32" s="2">
        <v>1.0110373000000001E-2</v>
      </c>
      <c r="H32" s="2">
        <v>0.92550297699999995</v>
      </c>
      <c r="I32" s="2">
        <v>0.6986</v>
      </c>
      <c r="J32" s="2">
        <v>175.38550000000001</v>
      </c>
      <c r="K32" s="2">
        <v>835.83429999999998</v>
      </c>
      <c r="L32" s="2"/>
      <c r="M32" s="4" t="s">
        <v>75</v>
      </c>
      <c r="N32">
        <f>_xlfn.STDEV.S(D26:D30)/ABS(AVERAGE(D26:D30))</f>
        <v>0.56910690058066893</v>
      </c>
      <c r="O32">
        <f t="shared" ref="O32" si="12">_xlfn.STDEV.S(E26:E30)/ABS(AVERAGE(E26:E30))</f>
        <v>0.28655393920839844</v>
      </c>
      <c r="P32">
        <f t="shared" ref="P32" si="13">_xlfn.STDEV.S(F26:F30)/ABS(AVERAGE(F26:F30))</f>
        <v>0.27200972834033033</v>
      </c>
      <c r="Q32">
        <f t="shared" ref="Q32" si="14">_xlfn.STDEV.S(G26:G30)/ABS(AVERAGE(G26:G30))</f>
        <v>0.28480435736472864</v>
      </c>
      <c r="R32">
        <f t="shared" ref="R32" si="15">_xlfn.STDEV.S(H26:H30)/ABS(AVERAGE(H26:H30))</f>
        <v>0.12950952334581028</v>
      </c>
      <c r="S32">
        <f t="shared" ref="S32" si="16">_xlfn.STDEV.S(I26:I30)/ABS(AVERAGE(I26:I30))</f>
        <v>0.22085389744344341</v>
      </c>
      <c r="T32">
        <f t="shared" ref="T32" si="17">_xlfn.STDEV.S(J26:J30)/ABS(AVERAGE(J26:J30))</f>
        <v>0.25298614748434622</v>
      </c>
      <c r="U32">
        <f t="shared" ref="U32" si="18">_xlfn.STDEV.S(K26:K30)/ABS(AVERAGE(K26:K30))</f>
        <v>0.34795007020522678</v>
      </c>
    </row>
    <row r="33" spans="1:21" x14ac:dyDescent="0.3">
      <c r="A33" s="1">
        <v>45991.158333333333</v>
      </c>
      <c r="B33" t="s">
        <v>42</v>
      </c>
      <c r="C33">
        <v>42</v>
      </c>
      <c r="D33" s="2">
        <v>19557.964090000001</v>
      </c>
      <c r="E33" s="2">
        <v>124.78675079999999</v>
      </c>
      <c r="F33" s="2">
        <v>139.8497912</v>
      </c>
      <c r="G33" s="2">
        <v>1.7394911999999998E-2</v>
      </c>
      <c r="H33" s="2">
        <v>0.82649099100000001</v>
      </c>
      <c r="I33" s="2">
        <v>0.38140000000000002</v>
      </c>
      <c r="J33" s="2">
        <v>195.58109999999999</v>
      </c>
      <c r="K33" s="2">
        <v>1835.8005000000001</v>
      </c>
      <c r="L33" s="2"/>
      <c r="M33" s="4" t="s">
        <v>76</v>
      </c>
      <c r="N33">
        <f>_xlfn.STDEV.S(D31:D35)/ABS(AVERAGE(D31:D35))</f>
        <v>0.50709101078342089</v>
      </c>
      <c r="O33">
        <f t="shared" ref="O33" si="19">_xlfn.STDEV.S(E31:E35)/ABS(AVERAGE(E31:E35))</f>
        <v>0.32605107377101139</v>
      </c>
      <c r="P33">
        <f t="shared" ref="P33" si="20">_xlfn.STDEV.S(F31:F35)/ABS(AVERAGE(F31:F35))</f>
        <v>0.28610826040263854</v>
      </c>
      <c r="Q33">
        <f t="shared" ref="Q33" si="21">_xlfn.STDEV.S(G31:G35)/ABS(AVERAGE(G31:G35))</f>
        <v>0.32499963957013495</v>
      </c>
      <c r="R33">
        <f t="shared" ref="R33" si="22">_xlfn.STDEV.S(H31:H35)/ABS(AVERAGE(H31:H35))</f>
        <v>0.16133810108201035</v>
      </c>
      <c r="S33">
        <f t="shared" ref="S33" si="23">_xlfn.STDEV.S(I31:I35)/ABS(AVERAGE(I31:I35))</f>
        <v>0.76683809444236772</v>
      </c>
      <c r="T33">
        <f t="shared" ref="T33" si="24">_xlfn.STDEV.S(J31:J35)/ABS(AVERAGE(J31:J35))</f>
        <v>7.9543661567640228E-2</v>
      </c>
      <c r="U33">
        <f>_xlfn.STDEV.S(K31:K35)/ABS(AVERAGE(K31:K35))</f>
        <v>0.53688333779009667</v>
      </c>
    </row>
    <row r="34" spans="1:21" x14ac:dyDescent="0.3">
      <c r="A34" s="1">
        <v>45991.164583333331</v>
      </c>
      <c r="B34" t="s">
        <v>43</v>
      </c>
      <c r="C34">
        <v>31415</v>
      </c>
      <c r="D34" s="2">
        <v>35491.238619999996</v>
      </c>
      <c r="E34" s="2">
        <v>166.5036705</v>
      </c>
      <c r="F34" s="2">
        <v>188.3911851</v>
      </c>
      <c r="G34" s="2">
        <v>2.3099900999999999E-2</v>
      </c>
      <c r="H34" s="2">
        <v>0.68513851299999995</v>
      </c>
      <c r="I34" s="2">
        <v>0.18859999999999999</v>
      </c>
      <c r="J34" s="2">
        <v>164.7465</v>
      </c>
      <c r="K34" s="2">
        <v>3746.7822000000001</v>
      </c>
      <c r="L34" s="2"/>
      <c r="M34" s="4" t="s">
        <v>77</v>
      </c>
      <c r="N34">
        <f>_xlfn.STDEV.S(D36:D40)/ABS(AVERAGE(D36:D40))</f>
        <v>1.9114692364069021</v>
      </c>
      <c r="O34">
        <f t="shared" ref="O34" si="25">_xlfn.STDEV.S(E36:E40)/ABS(AVERAGE(E36:E40))</f>
        <v>1.2252821502420894</v>
      </c>
      <c r="P34">
        <f t="shared" ref="P34" si="26">_xlfn.STDEV.S(F36:F40)/ABS(AVERAGE(F36:F40))</f>
        <v>1.1832476443401814</v>
      </c>
      <c r="Q34">
        <f t="shared" ref="Q34" si="27">_xlfn.STDEV.S(G36:G40)/ABS(AVERAGE(G36:G40))</f>
        <v>1.2354418777668073</v>
      </c>
      <c r="R34">
        <f t="shared" ref="R34" si="28">_xlfn.STDEV.S(H36:H40)/ABS(AVERAGE(H36:H40))</f>
        <v>1.9643102451449439</v>
      </c>
      <c r="S34">
        <f t="shared" ref="S34" si="29">_xlfn.STDEV.S(I36:I40)/ABS(AVERAGE(I36:I40))</f>
        <v>0.39990894614186212</v>
      </c>
      <c r="T34">
        <f t="shared" ref="T34" si="30">_xlfn.STDEV.S(J36:J40)/ABS(AVERAGE(J36:J40))</f>
        <v>2.2311977465208854</v>
      </c>
      <c r="U34">
        <f t="shared" ref="U34" si="31">_xlfn.STDEV.S(K36:K40)/ABS(AVERAGE(K36:K40))</f>
        <v>2.2197906459634011</v>
      </c>
    </row>
    <row r="35" spans="1:21" x14ac:dyDescent="0.3">
      <c r="A35" s="1">
        <v>45991.184027777781</v>
      </c>
      <c r="B35" t="s">
        <v>44</v>
      </c>
      <c r="C35">
        <v>73</v>
      </c>
      <c r="D35" s="2">
        <v>27666.009099999999</v>
      </c>
      <c r="E35" s="2">
        <v>151.3447032</v>
      </c>
      <c r="F35" s="2">
        <v>166.33102260000001</v>
      </c>
      <c r="G35" s="2">
        <v>2.1060962999999999E-2</v>
      </c>
      <c r="H35" s="2">
        <v>0.748434343</v>
      </c>
      <c r="I35" s="2">
        <v>0.24479999999999999</v>
      </c>
      <c r="J35" s="2">
        <v>200.00530000000001</v>
      </c>
      <c r="K35" s="2">
        <v>2590.2894999999999</v>
      </c>
      <c r="L35" s="2"/>
      <c r="M35" s="4" t="s">
        <v>78</v>
      </c>
      <c r="N35">
        <f>_xlfn.STDEV.S(D41:D45)/ABS(AVERAGE(D41:D45))</f>
        <v>0.486985443086146</v>
      </c>
      <c r="O35">
        <f t="shared" ref="O35" si="32">_xlfn.STDEV.S(E41:E45)/ABS(AVERAGE(E41:E45))</f>
        <v>0.3032687337596352</v>
      </c>
      <c r="P35">
        <f t="shared" ref="P35" si="33">_xlfn.STDEV.S(F41:F45)/ABS(AVERAGE(F41:F45))</f>
        <v>0.27487935112424483</v>
      </c>
      <c r="Q35">
        <f t="shared" ref="Q35" si="34">_xlfn.STDEV.S(G41:G45)/ABS(AVERAGE(G41:G45))</f>
        <v>0.30326292442635566</v>
      </c>
      <c r="R35">
        <f t="shared" ref="R35" si="35">_xlfn.STDEV.S(H41:H45)/ABS(AVERAGE(H41:H45))</f>
        <v>1.6602471326428403</v>
      </c>
      <c r="S35">
        <f t="shared" ref="S35" si="36">_xlfn.STDEV.S(I41:I45)/ABS(AVERAGE(I41:I45))</f>
        <v>0.81474138374889749</v>
      </c>
      <c r="T35">
        <f>_xlfn.STDEV.S(J41:J45)/ABS(AVERAGE(J41:J45))</f>
        <v>0.61182814451153289</v>
      </c>
      <c r="U35">
        <f>_xlfn.STDEV.S(K41:K45)/ABS(AVERAGE(K41:K45))</f>
        <v>0.45999894401645919</v>
      </c>
    </row>
    <row r="36" spans="1:21" x14ac:dyDescent="0.3">
      <c r="A36" s="1">
        <v>45991.285416666666</v>
      </c>
      <c r="B36" t="s">
        <v>45</v>
      </c>
      <c r="C36">
        <v>271828183</v>
      </c>
      <c r="D36" s="2">
        <v>995921.15269999998</v>
      </c>
      <c r="E36" s="2">
        <v>934.14199369999994</v>
      </c>
      <c r="F36" s="2">
        <v>997.95849250000003</v>
      </c>
      <c r="G36" s="2">
        <v>0.12964863200000001</v>
      </c>
      <c r="H36" s="2">
        <v>-7.951833079</v>
      </c>
      <c r="I36" s="2">
        <v>1</v>
      </c>
      <c r="J36" s="2">
        <v>3766.5218</v>
      </c>
      <c r="K36" s="2">
        <v>3766.5218</v>
      </c>
      <c r="L36" s="2"/>
      <c r="M36" s="4"/>
    </row>
    <row r="37" spans="1:21" x14ac:dyDescent="0.3">
      <c r="A37" s="1">
        <v>45991.298611111109</v>
      </c>
      <c r="B37" t="s">
        <v>46</v>
      </c>
      <c r="C37">
        <v>42</v>
      </c>
      <c r="D37" s="2">
        <v>222862.34330000001</v>
      </c>
      <c r="E37" s="2">
        <v>418.74264799999997</v>
      </c>
      <c r="F37" s="2">
        <v>472.08298350000001</v>
      </c>
      <c r="G37" s="2">
        <v>5.7944198000000002E-2</v>
      </c>
      <c r="H37" s="2">
        <v>-0.99876877900000005</v>
      </c>
      <c r="I37" s="2">
        <v>0.64670000000000005</v>
      </c>
      <c r="J37" s="2">
        <v>1086.7139</v>
      </c>
      <c r="K37" s="2">
        <v>3229.8022000000001</v>
      </c>
      <c r="L37" s="2"/>
      <c r="M37" s="4"/>
    </row>
    <row r="38" spans="1:21" x14ac:dyDescent="0.3">
      <c r="A38" s="1">
        <v>45991.518750000003</v>
      </c>
      <c r="B38" t="s">
        <v>47</v>
      </c>
      <c r="C38">
        <v>31415</v>
      </c>
      <c r="D38" s="2">
        <v>18942993.16</v>
      </c>
      <c r="E38" s="2">
        <v>4337.0547720000004</v>
      </c>
      <c r="F38" s="2">
        <v>4352.3548979999996</v>
      </c>
      <c r="G38" s="2">
        <v>0.61322637000000002</v>
      </c>
      <c r="H38" s="2">
        <v>-169.26901409999999</v>
      </c>
      <c r="I38" s="2">
        <v>1</v>
      </c>
      <c r="J38" s="2">
        <v>3992370.3960000002</v>
      </c>
      <c r="K38" s="2">
        <v>3992370.3960000002</v>
      </c>
      <c r="L38" s="2"/>
      <c r="M38" s="4"/>
    </row>
    <row r="39" spans="1:21" x14ac:dyDescent="0.3">
      <c r="A39" s="1">
        <v>45991.542361111111</v>
      </c>
      <c r="B39" t="s">
        <v>48</v>
      </c>
      <c r="C39">
        <v>73</v>
      </c>
      <c r="D39" s="2">
        <v>26433.131430000001</v>
      </c>
      <c r="E39" s="2">
        <v>146.92790600000001</v>
      </c>
      <c r="F39" s="2">
        <v>162.58269110000001</v>
      </c>
      <c r="G39" s="2">
        <v>2.0429486E-2</v>
      </c>
      <c r="H39" s="2">
        <v>0.76240591000000002</v>
      </c>
      <c r="I39" s="2">
        <v>0.86719999999999997</v>
      </c>
      <c r="J39" s="2">
        <v>537.01020000000005</v>
      </c>
      <c r="K39" s="2">
        <v>883.47879999999998</v>
      </c>
      <c r="L39" s="2"/>
      <c r="M39" s="4"/>
    </row>
    <row r="40" spans="1:21" x14ac:dyDescent="0.3">
      <c r="A40" s="1">
        <v>45991.552777777775</v>
      </c>
      <c r="B40" t="s">
        <v>49</v>
      </c>
      <c r="C40">
        <v>1234</v>
      </c>
      <c r="D40" s="2">
        <v>1277128.3810000001</v>
      </c>
      <c r="E40" s="2">
        <v>1076.179586</v>
      </c>
      <c r="F40" s="2">
        <v>1130.1010490000001</v>
      </c>
      <c r="G40" s="2">
        <v>0.15016997700000001</v>
      </c>
      <c r="H40" s="2">
        <v>-10.330079100000001</v>
      </c>
      <c r="I40" s="2">
        <v>0.28139999999999998</v>
      </c>
      <c r="J40" s="2">
        <v>1579.0634</v>
      </c>
      <c r="K40" s="2">
        <v>15522.504499999999</v>
      </c>
      <c r="L40" s="2"/>
      <c r="M40" s="4"/>
    </row>
    <row r="41" spans="1:21" x14ac:dyDescent="0.3">
      <c r="A41" s="1">
        <v>45991.638888888891</v>
      </c>
      <c r="B41" t="s">
        <v>50</v>
      </c>
      <c r="C41">
        <v>42</v>
      </c>
      <c r="D41" s="2">
        <v>213803.68150000001</v>
      </c>
      <c r="E41" s="2">
        <v>419.97779919999999</v>
      </c>
      <c r="F41" s="2">
        <v>462.38910190000001</v>
      </c>
      <c r="G41" s="2">
        <v>5.8100361000000003E-2</v>
      </c>
      <c r="H41" s="2">
        <v>-0.921773489</v>
      </c>
      <c r="I41" s="2">
        <v>1.72E-2</v>
      </c>
      <c r="J41" s="2">
        <v>225.98859999999999</v>
      </c>
      <c r="K41" s="2">
        <v>12539.0671</v>
      </c>
      <c r="L41" s="2"/>
      <c r="M41" s="4"/>
    </row>
    <row r="42" spans="1:21" x14ac:dyDescent="0.3">
      <c r="A42" s="1">
        <v>45991.6875</v>
      </c>
      <c r="B42" t="s">
        <v>51</v>
      </c>
      <c r="C42">
        <v>73</v>
      </c>
      <c r="D42" s="2">
        <v>188250.16930000001</v>
      </c>
      <c r="E42" s="2">
        <v>405.95865400000002</v>
      </c>
      <c r="F42" s="2">
        <v>433.87805809999998</v>
      </c>
      <c r="G42" s="2">
        <v>5.6381632000000001E-2</v>
      </c>
      <c r="H42" s="2">
        <v>-0.69208585300000003</v>
      </c>
      <c r="I42" s="2">
        <v>2.1899999999999999E-2</v>
      </c>
      <c r="J42" s="2">
        <v>262.01190000000003</v>
      </c>
      <c r="K42" s="2">
        <v>11311.6482</v>
      </c>
      <c r="L42" s="2"/>
      <c r="M42" s="4"/>
    </row>
    <row r="43" spans="1:21" x14ac:dyDescent="0.3">
      <c r="A43" s="1">
        <v>45991.759027777778</v>
      </c>
      <c r="B43" t="s">
        <v>52</v>
      </c>
      <c r="C43">
        <v>1234</v>
      </c>
      <c r="D43" s="2">
        <v>56273.806120000001</v>
      </c>
      <c r="E43" s="2">
        <v>206.733397</v>
      </c>
      <c r="F43" s="2">
        <v>237.22100689999999</v>
      </c>
      <c r="G43" s="2">
        <v>2.8720219000000002E-2</v>
      </c>
      <c r="H43" s="2">
        <v>0.500765401</v>
      </c>
      <c r="I43" s="2">
        <v>0.2586</v>
      </c>
      <c r="J43" s="2">
        <v>215.49619999999999</v>
      </c>
      <c r="K43" s="2">
        <v>4607.4992000000002</v>
      </c>
      <c r="L43" s="2"/>
      <c r="M43" s="4"/>
    </row>
    <row r="44" spans="1:21" x14ac:dyDescent="0.3">
      <c r="A44" s="1">
        <v>45991.82708333333</v>
      </c>
      <c r="B44" t="s">
        <v>53</v>
      </c>
      <c r="C44">
        <v>31415</v>
      </c>
      <c r="D44" s="2">
        <v>234982.0295</v>
      </c>
      <c r="E44" s="2">
        <v>452.9671257</v>
      </c>
      <c r="F44" s="2">
        <v>484.74945020000001</v>
      </c>
      <c r="G44" s="2">
        <v>6.2844282000000001E-2</v>
      </c>
      <c r="H44" s="2">
        <v>-1.1121349810000001</v>
      </c>
      <c r="I44" s="2">
        <v>0.29220000000000002</v>
      </c>
      <c r="J44" s="2">
        <v>722.8374</v>
      </c>
      <c r="K44" s="2">
        <v>5730.5753000000004</v>
      </c>
      <c r="L44" s="2"/>
      <c r="M44" s="4"/>
    </row>
    <row r="45" spans="1:21" x14ac:dyDescent="0.3">
      <c r="A45" s="1">
        <v>45991.941666666666</v>
      </c>
      <c r="B45" t="s">
        <v>54</v>
      </c>
      <c r="C45">
        <v>271828183</v>
      </c>
      <c r="D45" s="2">
        <v>98796.334719999999</v>
      </c>
      <c r="E45" s="2">
        <v>270.9024526</v>
      </c>
      <c r="F45" s="2">
        <v>314.31884239999999</v>
      </c>
      <c r="G45" s="2">
        <v>3.7474695000000002E-2</v>
      </c>
      <c r="H45" s="2">
        <v>0.12352563499999999</v>
      </c>
      <c r="I45" s="2">
        <v>0.28860000000000002</v>
      </c>
      <c r="J45" s="2">
        <v>314.3408</v>
      </c>
      <c r="K45" s="2">
        <v>5651.8001000000004</v>
      </c>
      <c r="L45" s="2"/>
      <c r="M45" s="4"/>
    </row>
    <row r="46" spans="1:21" x14ac:dyDescent="0.3">
      <c r="A46" s="1"/>
      <c r="D46" s="2"/>
      <c r="E46" s="2"/>
      <c r="F46" s="2"/>
      <c r="G46" s="2"/>
      <c r="H46" s="2"/>
      <c r="I46" s="2"/>
      <c r="J46" s="2"/>
      <c r="K46" s="2"/>
      <c r="L46" s="2"/>
      <c r="M46" s="4"/>
    </row>
    <row r="47" spans="1:21" x14ac:dyDescent="0.3">
      <c r="A47" s="1"/>
      <c r="D47" s="2"/>
      <c r="E47" s="2"/>
      <c r="F47" s="2"/>
      <c r="G47" s="2"/>
      <c r="H47" s="2"/>
      <c r="I47" s="2"/>
      <c r="J47" s="2"/>
      <c r="K47" s="2"/>
      <c r="L47" s="2"/>
      <c r="M47" s="4" t="s">
        <v>81</v>
      </c>
      <c r="N47" s="4" t="s">
        <v>3</v>
      </c>
      <c r="O47" s="4" t="s">
        <v>4</v>
      </c>
      <c r="P47" s="4" t="s">
        <v>5</v>
      </c>
      <c r="Q47" s="4" t="s">
        <v>6</v>
      </c>
      <c r="R47" s="4" t="s">
        <v>7</v>
      </c>
      <c r="S47" s="4" t="s">
        <v>8</v>
      </c>
      <c r="T47" s="4" t="s">
        <v>9</v>
      </c>
      <c r="U47" s="4" t="s">
        <v>10</v>
      </c>
    </row>
    <row r="48" spans="1:21" x14ac:dyDescent="0.3">
      <c r="A48" s="1">
        <v>45993.455590277779</v>
      </c>
      <c r="B48" t="s">
        <v>55</v>
      </c>
      <c r="C48">
        <v>42</v>
      </c>
      <c r="D48" s="2">
        <v>14839.02462</v>
      </c>
      <c r="E48" s="2">
        <v>106.0369408</v>
      </c>
      <c r="F48" s="2">
        <v>121.8155352</v>
      </c>
      <c r="G48" s="2">
        <v>1.4762030000000001E-2</v>
      </c>
      <c r="H48" s="2">
        <v>0.86661949000000005</v>
      </c>
      <c r="I48" s="2">
        <v>0.47343750000000001</v>
      </c>
      <c r="J48" s="2">
        <v>148.9519348</v>
      </c>
      <c r="K48" s="2">
        <v>1382.8063099999999</v>
      </c>
      <c r="L48" s="2"/>
      <c r="M48" s="4" t="s">
        <v>75</v>
      </c>
      <c r="N48" t="str">
        <f>TEXT(AVERAGE(D48:D52),"0.0000") &amp; " ± " &amp; TEXT(_xlfn.STDEV.S(D48:D52),"0.0000")</f>
        <v>17624.8635 ± 8420.8732</v>
      </c>
      <c r="O48" t="str">
        <f>TEXT(AVERAGE(E48:E52),"0.0000") &amp; " ± " &amp; TEXT(_xlfn.STDEV.S(E48:E52),"0.0000")</f>
        <v>113.0972 ± 28.2871</v>
      </c>
      <c r="P48" t="str">
        <f>TEXT(AVERAGE(F48:F52),"0.0000") &amp; " ± " &amp; TEXT(_xlfn.STDEV.S(F48:F52),"0.0000")</f>
        <v>130.1536 ± 29.2597</v>
      </c>
      <c r="Q48" t="str">
        <f>TEXT(AVERAGE(G48:G52),"0.0000") &amp; " ± " &amp; TEXT(_xlfn.STDEV.S(G48:G52),"0.0000")</f>
        <v>0.0158 ± 0.0039</v>
      </c>
      <c r="R48" t="str">
        <f>TEXT(AVERAGE(H48:H52),"0.0000") &amp; " ± " &amp; TEXT(_xlfn.STDEV.S(H48:H52),"0.0000")</f>
        <v>0.8412 ± 0.0774</v>
      </c>
      <c r="S48" t="str">
        <f>TEXT(AVERAGE(I48:I52),"0.0000") &amp; " ± " &amp; TEXT(_xlfn.STDEV.S(I48:I52),"0.0000")</f>
        <v>0.5108 ± 0.1241</v>
      </c>
      <c r="T48" t="str">
        <f>TEXT(AVERAGE(J48:J52),"0.0000") &amp; " ± " &amp; TEXT(_xlfn.STDEV.S(J48:J52),"0.0000")</f>
        <v>212.0210 ± 71.3285</v>
      </c>
      <c r="U48" t="str">
        <f>TEXT(AVERAGE(K48:K52),"0.0000") &amp; " ± " &amp; TEXT(_xlfn.STDEV.S(K48:K52),"0.0000")</f>
        <v>1467.7639 ± 508.4409</v>
      </c>
    </row>
    <row r="49" spans="1:21" x14ac:dyDescent="0.3">
      <c r="A49" s="1">
        <v>45993.744351851848</v>
      </c>
      <c r="B49" t="s">
        <v>56</v>
      </c>
      <c r="C49">
        <v>73</v>
      </c>
      <c r="D49" s="2">
        <v>31970.801189999998</v>
      </c>
      <c r="E49" s="2">
        <v>160.5571726</v>
      </c>
      <c r="F49" s="2">
        <v>178.80380640000001</v>
      </c>
      <c r="G49" s="2">
        <v>2.2356009E-2</v>
      </c>
      <c r="H49" s="2">
        <v>0.70929107999999996</v>
      </c>
      <c r="I49" s="2">
        <v>0.38805970099999998</v>
      </c>
      <c r="J49" s="2">
        <v>275.61114500000002</v>
      </c>
      <c r="K49" s="2">
        <v>2205.1229800000001</v>
      </c>
      <c r="L49" s="2"/>
      <c r="M49" s="4" t="s">
        <v>76</v>
      </c>
      <c r="N49" t="str">
        <f>TEXT(AVERAGE(D53:D57),"0.0000") &amp; " ± " &amp; TEXT(_xlfn.STDEV.S(D53:D57),"0.0000")</f>
        <v>30363.9933 ± 12954.9207</v>
      </c>
      <c r="O49" t="str">
        <f t="shared" ref="O49" si="37">TEXT(AVERAGE(E53:E57),"0.0000") &amp; " ± " &amp; TEXT(_xlfn.STDEV.S(E53:E57),"0.0000")</f>
        <v>146.5755 ± 36.3852</v>
      </c>
      <c r="P49" t="str">
        <f t="shared" ref="P49" si="38">TEXT(AVERAGE(F53:F57),"0.0000") &amp; " ± " &amp; TEXT(_xlfn.STDEV.S(F53:F57),"0.0000")</f>
        <v>170.5856 ± 39.7577</v>
      </c>
      <c r="Q49" t="str">
        <f t="shared" ref="Q49" si="39">TEXT(AVERAGE(G53:G57),"0.0000") &amp; " ± " &amp; TEXT(_xlfn.STDEV.S(G53:G57),"0.0000")</f>
        <v>0.0203 ± 0.0050</v>
      </c>
      <c r="R49" t="str">
        <f t="shared" ref="R49" si="40">TEXT(AVERAGE(H53:H57),"0.0000") &amp; " ± " &amp; TEXT(_xlfn.STDEV.S(H53:H57),"0.0000")</f>
        <v>0.7293 ± 0.1155</v>
      </c>
      <c r="S49" t="str">
        <f t="shared" ref="S49" si="41">TEXT(AVERAGE(I53:I57),"0.0000") &amp; " ± " &amp; TEXT(_xlfn.STDEV.S(I53:I57),"0.0000")</f>
        <v>0.5323 ± 0.1189</v>
      </c>
      <c r="T49" t="str">
        <f t="shared" ref="T49" si="42">TEXT(AVERAGE(J53:J57),"0.0000") &amp; " ± " &amp; TEXT(_xlfn.STDEV.S(J53:J57),"0.0000")</f>
        <v>253.6476 ± 46.0723</v>
      </c>
      <c r="U49" t="str">
        <f t="shared" ref="U49" si="43">TEXT(AVERAGE(K53:K57),"0.0000") &amp; " ± " &amp; TEXT(_xlfn.STDEV.S(K53:K57),"0.0000")</f>
        <v>1700.3479 ± 593.7452</v>
      </c>
    </row>
    <row r="50" spans="1:21" x14ac:dyDescent="0.3">
      <c r="A50" s="1">
        <v>45993.748865740738</v>
      </c>
      <c r="B50" t="s">
        <v>57</v>
      </c>
      <c r="C50">
        <v>31415</v>
      </c>
      <c r="D50" s="2">
        <v>12696.068370000001</v>
      </c>
      <c r="E50" s="2">
        <v>98.004125209999998</v>
      </c>
      <c r="F50" s="2">
        <v>112.6768316</v>
      </c>
      <c r="G50" s="2">
        <v>1.3672409999999999E-2</v>
      </c>
      <c r="H50" s="2">
        <v>0.88588144300000005</v>
      </c>
      <c r="I50" s="2">
        <v>0.4453125</v>
      </c>
      <c r="J50" s="2">
        <v>140.9268951</v>
      </c>
      <c r="K50" s="2">
        <v>1499.258223</v>
      </c>
      <c r="L50" s="2"/>
      <c r="M50" s="4" t="s">
        <v>77</v>
      </c>
      <c r="N50" t="str">
        <f>TEXT(AVERAGE(D58:D62),"0.0000") &amp; " ± " &amp; TEXT(_xlfn.STDEV.S(D58:D62),"0.0000")</f>
        <v>19927.8963 ± 7823.4772</v>
      </c>
      <c r="O50" t="str">
        <f>TEXT(AVERAGE(E58:E62),"0.0000") &amp; " ± " &amp; TEXT(_xlfn.STDEV.S(E58:E62),"0.0000")</f>
        <v>114.9288 ± 30.4645</v>
      </c>
      <c r="P50" t="str">
        <f>TEXT(AVERAGE(F58:F62),"0.0000") &amp; " ± " &amp; TEXT(_xlfn.STDEV.S(F58:F62),"0.0000")</f>
        <v>138.8203 ± 28.6534</v>
      </c>
      <c r="Q50" t="str">
        <f>TEXT(AVERAGE(G58:G62),"0.0000") &amp; " ± " &amp; TEXT(_xlfn.STDEV.S(G58:G62),"0.0000")</f>
        <v>0.0159 ± 0.0043</v>
      </c>
      <c r="R50" t="str">
        <f>TEXT(AVERAGE(H58:H62),"0.0000") &amp; " ± " &amp; TEXT(_xlfn.STDEV.S(H58:H62),"0.0000")</f>
        <v>0.8205 ± 0.0712</v>
      </c>
      <c r="S50" t="str">
        <f>TEXT(AVERAGE(I58:I62),"0.0000") &amp; " ± " &amp; TEXT(_xlfn.STDEV.S(I58:I62),"0.0000")</f>
        <v>0.5523 ± 0.1775</v>
      </c>
      <c r="T50" t="str">
        <f>TEXT(AVERAGE(J58:J62),"0.0000") &amp; " ± " &amp; TEXT(_xlfn.STDEV.S(J58:J62),"0.0000")</f>
        <v>244.2732 ± 77.8371</v>
      </c>
      <c r="U50" t="str">
        <f>TEXT(AVERAGE(K58:K62),"0.0000") &amp; " ± " &amp; TEXT(_xlfn.STDEV.S(K58:K62),"0.0000")</f>
        <v>1454.6235 ± 736.8881</v>
      </c>
    </row>
    <row r="51" spans="1:21" x14ac:dyDescent="0.3">
      <c r="A51" s="1">
        <v>45993.749386574076</v>
      </c>
      <c r="B51" t="s">
        <v>58</v>
      </c>
      <c r="C51">
        <v>1234</v>
      </c>
      <c r="D51" s="2">
        <v>10859.75671</v>
      </c>
      <c r="E51" s="2">
        <v>87.208998320000006</v>
      </c>
      <c r="F51" s="2">
        <v>104.2101565</v>
      </c>
      <c r="G51" s="2">
        <v>1.2170528999999999E-2</v>
      </c>
      <c r="H51" s="2">
        <v>0.90365737400000001</v>
      </c>
      <c r="I51" s="2">
        <v>0.71142857100000001</v>
      </c>
      <c r="J51" s="2">
        <v>198.39472960000001</v>
      </c>
      <c r="K51" s="2">
        <v>773.47838509999997</v>
      </c>
      <c r="L51" s="2"/>
      <c r="M51" s="4" t="s">
        <v>78</v>
      </c>
      <c r="N51" t="str">
        <f>TEXT(AVERAGE(D63:D67),"0.0000") &amp; " ± " &amp; TEXT(_xlfn.STDEV.S(D63:D67),"0.0000")</f>
        <v>142709.0804 ± 64946.3868</v>
      </c>
      <c r="O51" t="str">
        <f>TEXT(AVERAGE(E63:E67),"0.0000") &amp; " ± " &amp; TEXT(_xlfn.STDEV.S(E63:E67),"0.0000")</f>
        <v>329.5306 ± 84.2030</v>
      </c>
      <c r="P51" t="str">
        <f>TEXT(AVERAGE(F63:F67),"0.0000") &amp; " ± " &amp; TEXT(_xlfn.STDEV.S(F63:F67),"0.0000")</f>
        <v>370.1972 ± 84.1363</v>
      </c>
      <c r="Q51" t="str">
        <f>TEXT(AVERAGE(G63:G67),"0.0000") &amp; " ± " &amp; TEXT(_xlfn.STDEV.S(G63:G67),"0.0000")</f>
        <v>0.0456 ± 0.0117</v>
      </c>
      <c r="R51" t="str">
        <f>TEXT(AVERAGE(H63:H67),"0.0000") &amp; " ± " &amp; TEXT(_xlfn.STDEV.S(H63:H67),"0.0000")</f>
        <v>-0.2824 ± 0.5959</v>
      </c>
      <c r="S51" t="str">
        <f>TEXT(AVERAGE(I63:I67),"0.0000") &amp; " ± " &amp; TEXT(_xlfn.STDEV.S(I63:I67),"0.0000")</f>
        <v>0.2698 ± 0.0946</v>
      </c>
      <c r="T51" t="str">
        <f>TEXT(AVERAGE(J63:J67),"0.0000") &amp; " ± " &amp; TEXT(_xlfn.STDEV.S(J63:J67),"0.0000")</f>
        <v>413.5877 ± 24.7509</v>
      </c>
      <c r="U51" t="str">
        <f>TEXT(AVERAGE(K63:K67),"0.0000") &amp; " ± " &amp; TEXT(_xlfn.STDEV.S(K63:K67),"0.0000")</f>
        <v>6549.5880 ± 2321.2209</v>
      </c>
    </row>
    <row r="52" spans="1:21" x14ac:dyDescent="0.3">
      <c r="A52" s="1">
        <v>45993.762986111113</v>
      </c>
      <c r="B52" t="s">
        <v>59</v>
      </c>
      <c r="C52">
        <v>271828183</v>
      </c>
      <c r="D52" s="2">
        <v>17758.666730000001</v>
      </c>
      <c r="E52" s="2">
        <v>113.6788284</v>
      </c>
      <c r="F52" s="2">
        <v>133.2616476</v>
      </c>
      <c r="G52" s="2">
        <v>1.5804980999999999E-2</v>
      </c>
      <c r="H52" s="2">
        <v>0.84037629899999999</v>
      </c>
      <c r="I52" s="2">
        <v>0.53593749999999996</v>
      </c>
      <c r="J52" s="2">
        <v>296.22039790000002</v>
      </c>
      <c r="K52" s="2">
        <v>1478.153597</v>
      </c>
      <c r="L52" s="2"/>
      <c r="M52" s="4"/>
    </row>
    <row r="53" spans="1:21" x14ac:dyDescent="0.3">
      <c r="A53" s="1">
        <v>45993.776435185187</v>
      </c>
      <c r="B53" t="s">
        <v>60</v>
      </c>
      <c r="C53">
        <v>42</v>
      </c>
      <c r="D53" s="2">
        <v>42546.114696959397</v>
      </c>
      <c r="E53" s="2">
        <v>175.91736606223199</v>
      </c>
      <c r="F53" s="2">
        <v>206.267095526551</v>
      </c>
      <c r="G53" s="2">
        <v>2.431178153856E-2</v>
      </c>
      <c r="H53" s="2">
        <v>0.62255098859449198</v>
      </c>
      <c r="I53" s="2">
        <v>0.45142857142857101</v>
      </c>
      <c r="J53" s="2">
        <v>271.52764892578102</v>
      </c>
      <c r="K53" s="2">
        <v>2396.0097654374999</v>
      </c>
      <c r="L53" s="2"/>
      <c r="M53" s="4"/>
      <c r="N53" s="5" t="s">
        <v>178</v>
      </c>
    </row>
    <row r="54" spans="1:21" x14ac:dyDescent="0.3">
      <c r="A54" s="1">
        <v>45993.783680555556</v>
      </c>
      <c r="B54" t="s">
        <v>61</v>
      </c>
      <c r="C54">
        <v>73</v>
      </c>
      <c r="D54" s="2">
        <v>12941.7181201113</v>
      </c>
      <c r="E54" s="2">
        <v>91.783693505312399</v>
      </c>
      <c r="F54" s="2">
        <v>113.76167245654899</v>
      </c>
      <c r="G54" s="2">
        <v>1.27703382001255E-2</v>
      </c>
      <c r="H54" s="2">
        <v>0.88518719640752797</v>
      </c>
      <c r="I54" s="2">
        <v>0.72142857142857097</v>
      </c>
      <c r="J54" s="2">
        <v>226.38677978515599</v>
      </c>
      <c r="K54" s="2">
        <v>849.13264006897202</v>
      </c>
      <c r="L54" s="2"/>
      <c r="M54" s="4" t="s">
        <v>75</v>
      </c>
      <c r="N54">
        <f>_xlfn.STDEV.S(D48:D52)/ABS(AVERAGE(D48:D52))</f>
        <v>0.47778373874756935</v>
      </c>
      <c r="O54">
        <f t="shared" ref="O54" si="44">_xlfn.STDEV.S(E48:E52)/ABS(AVERAGE(E48:E52))</f>
        <v>0.25011292685934122</v>
      </c>
      <c r="P54">
        <f t="shared" ref="P54" si="45">_xlfn.STDEV.S(F48:F52)/ABS(AVERAGE(F48:F52))</f>
        <v>0.22480917951437876</v>
      </c>
      <c r="Q54">
        <f t="shared" ref="Q54" si="46">_xlfn.STDEV.S(G48:G52)/ABS(AVERAGE(G48:G52))</f>
        <v>0.24940823960773931</v>
      </c>
      <c r="R54">
        <f t="shared" ref="R54" si="47">_xlfn.STDEV.S(H48:H52)/ABS(AVERAGE(H48:H52))</f>
        <v>9.1978933585771416E-2</v>
      </c>
      <c r="S54">
        <f t="shared" ref="S54" si="48">_xlfn.STDEV.S(I48:I52)/ABS(AVERAGE(I48:I52))</f>
        <v>0.24299509471772213</v>
      </c>
      <c r="T54">
        <f t="shared" ref="T54" si="49">_xlfn.STDEV.S(J48:J52)/ABS(AVERAGE(J48:J52))</f>
        <v>0.3364216617727856</v>
      </c>
      <c r="U54">
        <f t="shared" ref="U54" si="50">_xlfn.STDEV.S(K48:K52)/ABS(AVERAGE(K48:K52))</f>
        <v>0.34640507040125607</v>
      </c>
    </row>
    <row r="55" spans="1:21" x14ac:dyDescent="0.3">
      <c r="A55" s="1">
        <v>45993.791770833333</v>
      </c>
      <c r="B55" t="s">
        <v>62</v>
      </c>
      <c r="C55">
        <v>271828183</v>
      </c>
      <c r="D55" s="2">
        <v>31796.323350440602</v>
      </c>
      <c r="E55" s="2">
        <v>155.27285225102599</v>
      </c>
      <c r="F55" s="2">
        <v>178.315235889815</v>
      </c>
      <c r="G55" s="2">
        <v>2.1524347462157901E-2</v>
      </c>
      <c r="H55" s="2">
        <v>0.71791805431739297</v>
      </c>
      <c r="I55" s="2">
        <v>0.42571428571428499</v>
      </c>
      <c r="J55" s="2">
        <v>231.11312866210901</v>
      </c>
      <c r="K55" s="2">
        <v>2100.1560043803502</v>
      </c>
      <c r="L55" s="2"/>
      <c r="M55" s="4" t="s">
        <v>76</v>
      </c>
      <c r="N55">
        <f>_xlfn.STDEV.S(D53:D57)/ABS(AVERAGE(D53:D57))</f>
        <v>0.42665404889200698</v>
      </c>
      <c r="O55">
        <f t="shared" ref="O55" si="51">_xlfn.STDEV.S(E53:E57)/ABS(AVERAGE(E53:E57))</f>
        <v>0.24823496887697474</v>
      </c>
      <c r="P55">
        <f t="shared" ref="P55" si="52">_xlfn.STDEV.S(F53:F57)/ABS(AVERAGE(F53:F57))</f>
        <v>0.23306601455963796</v>
      </c>
      <c r="Q55">
        <f t="shared" ref="Q55" si="53">_xlfn.STDEV.S(G53:G57)/ABS(AVERAGE(G53:G57))</f>
        <v>0.24642894433750193</v>
      </c>
      <c r="R55">
        <f t="shared" ref="R55" si="54">_xlfn.STDEV.S(H53:H57)/ABS(AVERAGE(H53:H57))</f>
        <v>0.15837159629789851</v>
      </c>
      <c r="S55">
        <f t="shared" ref="S55" si="55">_xlfn.STDEV.S(I53:I57)/ABS(AVERAGE(I53:I57))</f>
        <v>0.2233165092686106</v>
      </c>
      <c r="T55">
        <f t="shared" ref="T55" si="56">_xlfn.STDEV.S(J53:J57)/ABS(AVERAGE(J53:J57))</f>
        <v>0.18163895541332975</v>
      </c>
      <c r="U55">
        <f>_xlfn.STDEV.S(K53:K57)/ABS(AVERAGE(K53:K57))</f>
        <v>0.34919041175143428</v>
      </c>
    </row>
    <row r="56" spans="1:21" x14ac:dyDescent="0.3">
      <c r="A56" s="1">
        <v>45993.793599537035</v>
      </c>
      <c r="B56" t="s">
        <v>63</v>
      </c>
      <c r="C56">
        <v>31415</v>
      </c>
      <c r="D56" s="2">
        <v>42516.778143935197</v>
      </c>
      <c r="E56" s="2">
        <v>179.614124502691</v>
      </c>
      <c r="F56" s="2">
        <v>206.19597024174601</v>
      </c>
      <c r="G56" s="2">
        <v>2.48815622133251E-2</v>
      </c>
      <c r="H56" s="2">
        <v>0.61868296159471603</v>
      </c>
      <c r="I56" s="2">
        <v>0.56934306569342996</v>
      </c>
      <c r="J56" s="2">
        <v>326.22100830078102</v>
      </c>
      <c r="K56" s="2">
        <v>1655.4992420193801</v>
      </c>
      <c r="L56" s="2"/>
      <c r="M56" s="4" t="s">
        <v>77</v>
      </c>
      <c r="N56">
        <f>_xlfn.STDEV.S(D58:D62)/ABS(AVERAGE(D58:D62))</f>
        <v>0.3925892161752203</v>
      </c>
      <c r="O56">
        <f t="shared" ref="O56" si="57">_xlfn.STDEV.S(E58:E62)/ABS(AVERAGE(E58:E62))</f>
        <v>0.26507299538161871</v>
      </c>
      <c r="P56">
        <f t="shared" ref="P56" si="58">_xlfn.STDEV.S(F58:F62)/ABS(AVERAGE(F58:F62))</f>
        <v>0.20640660998397764</v>
      </c>
      <c r="Q56">
        <f t="shared" ref="Q56" si="59">_xlfn.STDEV.S(G58:G62)/ABS(AVERAGE(G58:G62))</f>
        <v>0.26775987897783349</v>
      </c>
      <c r="R56">
        <f t="shared" ref="R56" si="60">_xlfn.STDEV.S(H58:H62)/ABS(AVERAGE(H58:H62))</f>
        <v>8.6746079776867033E-2</v>
      </c>
      <c r="S56">
        <f t="shared" ref="S56" si="61">_xlfn.STDEV.S(I58:I62)/ABS(AVERAGE(I58:I62))</f>
        <v>0.32143636310509932</v>
      </c>
      <c r="T56">
        <f t="shared" ref="T56" si="62">_xlfn.STDEV.S(J58:J62)/ABS(AVERAGE(J58:J62))</f>
        <v>0.31864771273432652</v>
      </c>
      <c r="U56">
        <f t="shared" ref="U56" si="63">_xlfn.STDEV.S(K58:K62)/ABS(AVERAGE(K58:K62))</f>
        <v>0.50658336176652696</v>
      </c>
    </row>
    <row r="57" spans="1:21" x14ac:dyDescent="0.3">
      <c r="A57" s="1">
        <v>45993.799131944441</v>
      </c>
      <c r="B57" t="s">
        <v>64</v>
      </c>
      <c r="C57">
        <v>1234</v>
      </c>
      <c r="D57" s="2">
        <v>22019.032167284298</v>
      </c>
      <c r="E57" s="2">
        <v>130.28937759160101</v>
      </c>
      <c r="F57" s="2">
        <v>148.388113295116</v>
      </c>
      <c r="G57" s="2">
        <v>1.8075787869609498E-2</v>
      </c>
      <c r="H57" s="2">
        <v>0.80208202226740999</v>
      </c>
      <c r="I57" s="2">
        <v>0.49375000000000002</v>
      </c>
      <c r="J57" s="2">
        <v>212.98959350585901</v>
      </c>
      <c r="K57" s="2">
        <v>1500.94208747875</v>
      </c>
      <c r="L57" s="2"/>
      <c r="M57" s="4" t="s">
        <v>78</v>
      </c>
      <c r="N57">
        <f>_xlfn.STDEV.S(D63:D67)/ABS(AVERAGE(D63:D67))</f>
        <v>0.45509638647293998</v>
      </c>
      <c r="O57">
        <f t="shared" ref="O57" si="64">_xlfn.STDEV.S(E63:E67)/ABS(AVERAGE(E63:E67))</f>
        <v>0.25552397918962938</v>
      </c>
      <c r="P57">
        <f t="shared" ref="P57" si="65">_xlfn.STDEV.S(F63:F67)/ABS(AVERAGE(F63:F67))</f>
        <v>0.22727420481574701</v>
      </c>
      <c r="Q57">
        <f t="shared" ref="Q57" si="66">_xlfn.STDEV.S(G63:G67)/ABS(AVERAGE(G63:G67))</f>
        <v>0.25665638626457804</v>
      </c>
      <c r="R57">
        <f t="shared" ref="R57" si="67">_xlfn.STDEV.S(H63:H67)/ABS(AVERAGE(H63:H67))</f>
        <v>2.1102935975095489</v>
      </c>
      <c r="S57">
        <f t="shared" ref="S57" si="68">_xlfn.STDEV.S(I63:I67)/ABS(AVERAGE(I63:I67))</f>
        <v>0.35047869044502306</v>
      </c>
      <c r="T57">
        <f>_xlfn.STDEV.S(J63:J67)/ABS(AVERAGE(J63:J67))</f>
        <v>5.9844279174258205E-2</v>
      </c>
      <c r="U57">
        <f>_xlfn.STDEV.S(K63:K67)/ABS(AVERAGE(K63:K67))</f>
        <v>0.35440715747247042</v>
      </c>
    </row>
    <row r="58" spans="1:21" x14ac:dyDescent="0.3">
      <c r="A58" s="1">
        <v>45993.807488425926</v>
      </c>
      <c r="B58" t="s">
        <v>65</v>
      </c>
      <c r="C58">
        <v>42</v>
      </c>
      <c r="D58" s="2">
        <v>12281.351512912501</v>
      </c>
      <c r="E58" s="2">
        <v>83.261215127678497</v>
      </c>
      <c r="F58" s="2">
        <v>110.821259300337</v>
      </c>
      <c r="G58" s="2">
        <v>1.14937838052942E-2</v>
      </c>
      <c r="H58" s="2">
        <v>0.89104565668827895</v>
      </c>
      <c r="I58" s="2">
        <v>0.66857142857142804</v>
      </c>
      <c r="J58" s="2">
        <v>193.529861450195</v>
      </c>
      <c r="K58" s="2">
        <v>914.65691619977599</v>
      </c>
      <c r="L58" s="2"/>
    </row>
    <row r="59" spans="1:21" x14ac:dyDescent="0.3">
      <c r="A59" s="1">
        <v>45993.82199074074</v>
      </c>
      <c r="B59" t="s">
        <v>66</v>
      </c>
      <c r="C59">
        <v>73</v>
      </c>
      <c r="D59" s="2">
        <v>29282.0985162861</v>
      </c>
      <c r="E59" s="2">
        <v>155.62744722635199</v>
      </c>
      <c r="F59" s="2">
        <v>171.12012890448</v>
      </c>
      <c r="G59" s="2">
        <v>2.1643830481817401E-2</v>
      </c>
      <c r="H59" s="2">
        <v>0.73373932135989794</v>
      </c>
      <c r="I59" s="2">
        <v>0.54776119402985002</v>
      </c>
      <c r="J59" s="2">
        <v>352.31814575195301</v>
      </c>
      <c r="K59" s="2">
        <v>1160.2798531061001</v>
      </c>
      <c r="L59" s="2"/>
    </row>
    <row r="60" spans="1:21" x14ac:dyDescent="0.3">
      <c r="A60" s="1">
        <v>45993.822638888887</v>
      </c>
      <c r="B60" t="s">
        <v>67</v>
      </c>
      <c r="C60">
        <v>31415</v>
      </c>
      <c r="D60" s="2">
        <v>24077.925270462802</v>
      </c>
      <c r="E60" s="2">
        <v>117.21201100848501</v>
      </c>
      <c r="F60" s="2">
        <v>155.17063275782101</v>
      </c>
      <c r="G60" s="2">
        <v>1.6098422174646101E-2</v>
      </c>
      <c r="H60" s="2">
        <v>0.78405411802384495</v>
      </c>
      <c r="I60" s="2">
        <v>0.48175182481751799</v>
      </c>
      <c r="J60" s="2">
        <v>179.10908508300699</v>
      </c>
      <c r="K60" s="2">
        <v>2197.53529316605</v>
      </c>
      <c r="L60" s="2"/>
    </row>
    <row r="61" spans="1:21" x14ac:dyDescent="0.3">
      <c r="A61" s="1">
        <v>45993.83</v>
      </c>
      <c r="B61" t="s">
        <v>68</v>
      </c>
      <c r="C61">
        <v>1234</v>
      </c>
      <c r="D61" s="2">
        <v>11321.137569599099</v>
      </c>
      <c r="E61" s="2">
        <v>87.0915184797108</v>
      </c>
      <c r="F61" s="2">
        <v>106.400834440333</v>
      </c>
      <c r="G61" s="2">
        <v>1.20813573483996E-2</v>
      </c>
      <c r="H61" s="2">
        <v>0.89705745404200099</v>
      </c>
      <c r="I61" s="2">
        <v>0.76268656716417904</v>
      </c>
      <c r="J61" s="2">
        <v>301.63009643554602</v>
      </c>
      <c r="K61" s="2">
        <v>713.64640209957895</v>
      </c>
      <c r="L61" s="2"/>
    </row>
    <row r="62" spans="1:21" x14ac:dyDescent="0.3">
      <c r="A62" s="1">
        <v>45993.830092592594</v>
      </c>
      <c r="B62" t="s">
        <v>69</v>
      </c>
      <c r="C62">
        <v>271828183</v>
      </c>
      <c r="D62" s="2">
        <v>22676.968646644698</v>
      </c>
      <c r="E62" s="2">
        <v>131.451575316879</v>
      </c>
      <c r="F62" s="2">
        <v>150.588740105775</v>
      </c>
      <c r="G62" s="2">
        <v>1.82760997096214E-2</v>
      </c>
      <c r="H62" s="2">
        <v>0.796618772591979</v>
      </c>
      <c r="I62" s="2">
        <v>0.300729927007299</v>
      </c>
      <c r="J62" s="2">
        <v>194.77890014648401</v>
      </c>
      <c r="K62" s="2">
        <v>2286.99898849292</v>
      </c>
      <c r="L62" s="2"/>
    </row>
    <row r="63" spans="1:21" x14ac:dyDescent="0.3">
      <c r="A63" s="1">
        <v>45993.839131944442</v>
      </c>
      <c r="B63" t="s">
        <v>70</v>
      </c>
      <c r="C63">
        <v>42</v>
      </c>
      <c r="D63" s="2">
        <v>193507.20345997199</v>
      </c>
      <c r="E63" s="2">
        <v>400.89914549917</v>
      </c>
      <c r="F63" s="2">
        <v>439.89453674713002</v>
      </c>
      <c r="G63" s="2">
        <v>5.5432990966154498E-2</v>
      </c>
      <c r="H63" s="2">
        <v>-0.739338681851339</v>
      </c>
      <c r="I63" s="2">
        <v>0.16718749999999999</v>
      </c>
      <c r="J63" s="2">
        <v>392.10433959960898</v>
      </c>
      <c r="K63" s="2">
        <v>8205.5248258486299</v>
      </c>
      <c r="L63" s="2"/>
    </row>
    <row r="64" spans="1:21" x14ac:dyDescent="0.3">
      <c r="A64" s="1">
        <v>45993.853796296295</v>
      </c>
      <c r="B64" t="s">
        <v>71</v>
      </c>
      <c r="C64">
        <v>73</v>
      </c>
      <c r="D64" s="2">
        <v>84307.857456830898</v>
      </c>
      <c r="E64" s="2">
        <v>245.28651487180599</v>
      </c>
      <c r="F64" s="2">
        <v>290.35815376329703</v>
      </c>
      <c r="G64" s="2">
        <v>3.3839368171357402E-2</v>
      </c>
      <c r="H64" s="2">
        <v>0.24387444385130799</v>
      </c>
      <c r="I64" s="2">
        <v>0.41313868613138599</v>
      </c>
      <c r="J64" s="2">
        <v>448.99642944335898</v>
      </c>
      <c r="K64" s="2">
        <v>3458.2476574821999</v>
      </c>
      <c r="L64" s="2"/>
    </row>
    <row r="65" spans="1:12" x14ac:dyDescent="0.3">
      <c r="A65" s="1">
        <v>45993.864907407406</v>
      </c>
      <c r="B65" t="s">
        <v>72</v>
      </c>
      <c r="C65">
        <v>271828183</v>
      </c>
      <c r="D65" s="2">
        <v>108835.284672846</v>
      </c>
      <c r="E65" s="2">
        <v>287.05200821718699</v>
      </c>
      <c r="F65" s="2">
        <v>329.90193190226398</v>
      </c>
      <c r="G65" s="2">
        <v>3.9770515412657199E-2</v>
      </c>
      <c r="H65" s="2">
        <v>3.4464817800659298E-2</v>
      </c>
      <c r="I65" s="2">
        <v>0.27428571428571402</v>
      </c>
      <c r="J65" s="2">
        <v>421.90710449218699</v>
      </c>
      <c r="K65" s="2">
        <v>6065.2721341383904</v>
      </c>
      <c r="L65" s="2"/>
    </row>
    <row r="66" spans="1:12" x14ac:dyDescent="0.3">
      <c r="A66" s="1">
        <v>45993.870671296296</v>
      </c>
      <c r="B66" t="s">
        <v>73</v>
      </c>
      <c r="C66">
        <v>1234</v>
      </c>
      <c r="D66" s="2">
        <v>96839.045184749004</v>
      </c>
      <c r="E66" s="2">
        <v>277.102787374196</v>
      </c>
      <c r="F66" s="2">
        <v>311.18972538428801</v>
      </c>
      <c r="G66" s="2">
        <v>3.8453640014117399E-2</v>
      </c>
      <c r="H66" s="2">
        <v>0.14088978204515101</v>
      </c>
      <c r="I66" s="2">
        <v>0.28999999999999998</v>
      </c>
      <c r="J66" s="2">
        <v>388.00018310546801</v>
      </c>
      <c r="K66" s="2">
        <v>5615.1759666218704</v>
      </c>
      <c r="L66" s="2"/>
    </row>
    <row r="67" spans="1:12" x14ac:dyDescent="0.3">
      <c r="A67" s="1">
        <v>45993.882349537038</v>
      </c>
      <c r="B67" t="s">
        <v>74</v>
      </c>
      <c r="C67">
        <v>31415</v>
      </c>
      <c r="D67" s="2">
        <v>230056.01120326901</v>
      </c>
      <c r="E67" s="2">
        <v>437.31238848516699</v>
      </c>
      <c r="F67" s="2">
        <v>479.64154449262298</v>
      </c>
      <c r="G67" s="2">
        <v>6.0730772585298499E-2</v>
      </c>
      <c r="H67" s="2">
        <v>-1.09188797155874</v>
      </c>
      <c r="I67" s="2">
        <v>0.20447761194029801</v>
      </c>
      <c r="J67" s="2">
        <v>416.93032836914</v>
      </c>
      <c r="K67" s="2">
        <v>9403.7193019659499</v>
      </c>
      <c r="L67" s="2"/>
    </row>
  </sheetData>
  <conditionalFormatting sqref="N10:U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:U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:U5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1F5-3D17-4B02-81F1-B9F1FF016791}">
  <dimension ref="D3:L17"/>
  <sheetViews>
    <sheetView workbookViewId="0">
      <selection activeCell="K6" sqref="K6"/>
    </sheetView>
  </sheetViews>
  <sheetFormatPr defaultRowHeight="14.4" x14ac:dyDescent="0.3"/>
  <cols>
    <col min="4" max="4" width="10.5546875" bestFit="1" customWidth="1"/>
    <col min="5" max="5" width="26.21875" bestFit="1" customWidth="1"/>
    <col min="6" max="7" width="20" bestFit="1" customWidth="1"/>
    <col min="8" max="8" width="13.88671875" bestFit="1" customWidth="1"/>
    <col min="9" max="9" width="16.5546875" bestFit="1" customWidth="1"/>
    <col min="10" max="10" width="13.88671875" bestFit="1" customWidth="1"/>
    <col min="11" max="12" width="25.109375" bestFit="1" customWidth="1"/>
  </cols>
  <sheetData>
    <row r="3" spans="4:12" x14ac:dyDescent="0.3">
      <c r="D3" t="s">
        <v>79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  <row r="4" spans="4:12" x14ac:dyDescent="0.3">
      <c r="D4" t="s">
        <v>75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</row>
    <row r="5" spans="4:12" x14ac:dyDescent="0.3">
      <c r="D5" t="s">
        <v>76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</row>
    <row r="6" spans="4:12" x14ac:dyDescent="0.3">
      <c r="D6" t="s">
        <v>77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</row>
    <row r="7" spans="4:12" x14ac:dyDescent="0.3">
      <c r="D7" t="s">
        <v>78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</row>
    <row r="8" spans="4:12" x14ac:dyDescent="0.3">
      <c r="D8" t="s">
        <v>80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</row>
    <row r="9" spans="4:12" x14ac:dyDescent="0.3">
      <c r="D9" t="s">
        <v>75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</row>
    <row r="10" spans="4:12" x14ac:dyDescent="0.3">
      <c r="D10" t="s">
        <v>76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</row>
    <row r="11" spans="4:12" x14ac:dyDescent="0.3">
      <c r="D11" t="s">
        <v>77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</row>
    <row r="12" spans="4:12" x14ac:dyDescent="0.3">
      <c r="D12" t="s">
        <v>78</v>
      </c>
      <c r="E12" t="s">
        <v>138</v>
      </c>
      <c r="F12" t="s">
        <v>139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145</v>
      </c>
    </row>
    <row r="13" spans="4:12" x14ac:dyDescent="0.3">
      <c r="D13" t="s">
        <v>81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</row>
    <row r="14" spans="4:12" x14ac:dyDescent="0.3">
      <c r="D14" t="s">
        <v>75</v>
      </c>
      <c r="E14" t="s">
        <v>146</v>
      </c>
      <c r="F14" t="s">
        <v>147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</row>
    <row r="15" spans="4:12" x14ac:dyDescent="0.3">
      <c r="D15" t="s">
        <v>76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161</v>
      </c>
    </row>
    <row r="16" spans="4:12" x14ac:dyDescent="0.3">
      <c r="D16" t="s">
        <v>77</v>
      </c>
      <c r="E16" t="s">
        <v>162</v>
      </c>
      <c r="F16" t="s">
        <v>163</v>
      </c>
      <c r="G16" t="s">
        <v>164</v>
      </c>
      <c r="H16" t="s">
        <v>165</v>
      </c>
      <c r="I16" t="s">
        <v>166</v>
      </c>
      <c r="J16" t="s">
        <v>167</v>
      </c>
      <c r="K16" t="s">
        <v>168</v>
      </c>
      <c r="L16" t="s">
        <v>169</v>
      </c>
    </row>
    <row r="17" spans="4:12" x14ac:dyDescent="0.3">
      <c r="D17" t="s">
        <v>78</v>
      </c>
      <c r="E17" t="s">
        <v>170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ALL_UQ_METRICS</vt:lpstr>
      <vt:lpstr>Mean STD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</dc:creator>
  <cp:lastModifiedBy>Alden Ardiwinata Putra</cp:lastModifiedBy>
  <dcterms:created xsi:type="dcterms:W3CDTF">2025-12-02T15:38:04Z</dcterms:created>
  <dcterms:modified xsi:type="dcterms:W3CDTF">2025-12-04T07:17:04Z</dcterms:modified>
</cp:coreProperties>
</file>